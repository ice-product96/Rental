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tables/table10.xml" ContentType="application/vnd.openxmlformats-officedocument.spreadsheetml.table+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ЭтаКнига" defaultThemeVersion="124226"/>
  <bookViews>
    <workbookView xWindow="300" yWindow="450" windowWidth="15480" windowHeight="7350" tabRatio="928"/>
  </bookViews>
  <sheets>
    <sheet name="Расчет лесов" sheetId="2" r:id="rId1"/>
    <sheet name="Вышки туры" sheetId="3" r:id="rId2"/>
    <sheet name="Договор аренды лесов Физ" sheetId="4" state="hidden" r:id="rId3"/>
    <sheet name="Договор аренды тур Физ" sheetId="6" state="hidden" r:id="rId4"/>
    <sheet name="ДляДоговора" sheetId="17" r:id="rId5"/>
    <sheet name="Договор аренды лесов Юр" sheetId="5" r:id="rId6"/>
    <sheet name="Счет Юр леса" sheetId="9" r:id="rId7"/>
    <sheet name="Договор аренды тур Юр" sheetId="7" r:id="rId8"/>
    <sheet name="Счет Юр вышка" sheetId="10" r:id="rId9"/>
    <sheet name="Акт невозврата Леса" sheetId="18" r:id="rId10"/>
    <sheet name="Акт невозврата Вышки" sheetId="19" r:id="rId11"/>
    <sheet name="Перерасчет" sheetId="20" r:id="rId12"/>
    <sheet name="реквизиты" sheetId="16" r:id="rId13"/>
    <sheet name="Доп" sheetId="8" r:id="rId14"/>
    <sheet name="расценки" sheetId="11" r:id="rId15"/>
    <sheet name="ремонт" sheetId="14" r:id="rId16"/>
    <sheet name="Сдача" sheetId="15" r:id="rId17"/>
    <sheet name="Лист1" sheetId="21" r:id="rId18"/>
  </sheets>
  <externalReferences>
    <externalReference r:id="rId19"/>
  </externalReferences>
  <definedNames>
    <definedName name="n_1" localSheetId="10">{"","одинz","дваz","триz","четыреz","пятьz","шестьz","семьz","восемьz","девятьz"}</definedName>
    <definedName name="n_1" localSheetId="9">{"","одинz","дваz","триz","четыреz","пятьz","шестьz","семьz","восемьz","девятьz"}</definedName>
    <definedName name="n_1" localSheetId="4">{"","одинz","дваz","триz","четыреz","пятьz","шестьz","семьz","восемьz","девятьz"}</definedName>
    <definedName name="n_1" localSheetId="8">{"","одинz","дваz","триz","четыреz","пятьz","шестьz","семьz","восемьz","девятьz"}</definedName>
    <definedName name="n_1" localSheetId="6">{"","одинz","дваz","триz","четыреz","пятьz","шестьz","семьz","восемьz","девятьz"}</definedName>
    <definedName name="n_1">{"","одинz","дваz","триz","четыреz","пятьz","шестьz","семьz","восемьz","девятьz"}</definedName>
    <definedName name="n_2" localSheetId="10">{"десятьz","одиннадцатьz","двенадцатьz","тринадцатьz","четырнадцатьz","пятнадцатьz","шестнадцатьz","семнадцатьz","восемнадцатьz","девятнадцатьz"}</definedName>
    <definedName name="n_2" localSheetId="9">{"десятьz","одиннадцатьz","двенадцатьz","тринадцатьz","четырнадцатьz","пятнадцатьz","шестнадцатьz","семнадцатьz","восемнадцатьz","девятнадцатьz"}</definedName>
    <definedName name="n_2" localSheetId="4">{"десятьz","одиннадцатьz","двенадцатьz","тринадцатьz","четырнадцатьz","пятнадцатьz","шестнадцатьz","семнадцатьz","восемнадцатьz","девятнадцатьz"}</definedName>
    <definedName name="n_2" localSheetId="8">{"десятьz","одиннадцатьz","двенадцатьz","тринадцатьz","четырнадцатьz","пятнадцатьz","шестнадцатьz","семнадцатьz","восемнадцатьz","девятнадцатьz"}</definedName>
    <definedName name="n_2" localSheetId="6">{"десятьz","одиннадцатьz","двенадцатьz","тринадцатьz","четырнадцатьz","пятнадцатьz","шестнадцатьz","семнадцатьz","восемнадцатьz","девятнадцатьz"}</definedName>
    <definedName name="n_2">{"десятьz","одиннадцатьz","двенадцатьz","тринадцатьz","четырнадцатьz","пятнадцатьz","шестнадцатьz","семнадцатьz","восемнадцатьz","девятнадцатьz"}</definedName>
    <definedName name="n_3" localSheetId="10">{"";1;"двадцатьz";"тридцатьz";"сорокz";"пятьдесятz";"шестьдесятz";"семьдесятz";"восемьдесятz";"девяностоz"}</definedName>
    <definedName name="n_3" localSheetId="9">{"";1;"двадцатьz";"тридцатьz";"сорокz";"пятьдесятz";"шестьдесятz";"семьдесятz";"восемьдесятz";"девяностоz"}</definedName>
    <definedName name="n_3" localSheetId="4">{"";1;"двадцатьz";"тридцатьz";"сорокz";"пятьдесятz";"шестьдесятz";"семьдесятz";"восемьдесятz";"девяностоz"}</definedName>
    <definedName name="n_3" localSheetId="8">{"";1;"двадцатьz";"тридцатьz";"сорокz";"пятьдесятz";"шестьдесятz";"семьдесятz";"восемьдесятz";"девяностоz"}</definedName>
    <definedName name="n_3" localSheetId="6">{"";1;"двадцатьz";"тридцатьz";"сорокz";"пятьдесятz";"шестьдесятz";"семьдесятz";"восемьдесятz";"девяностоz"}</definedName>
    <definedName name="n_3">{"";1;"двадцатьz";"тридцатьz";"сорокz";"пятьдесятz";"шестьдесятz";"семьдесятz";"восемьдесятz";"девяностоz"}</definedName>
    <definedName name="n_4" localSheetId="10">{"","стоz","двестиz","тристаz","четырестаz","пятьсотz","шестьсотz","семьсотz","восемьсотz","девятьсотz"}</definedName>
    <definedName name="n_4" localSheetId="9">{"","стоz","двестиz","тристаz","четырестаz","пятьсотz","шестьсотz","семьсотz","восемьсотz","девятьсотz"}</definedName>
    <definedName name="n_4" localSheetId="4">{"","стоz","двестиz","тристаz","четырестаz","пятьсотz","шестьсотz","семьсотz","восемьсотz","девятьсотz"}</definedName>
    <definedName name="n_4" localSheetId="8">{"","стоz","двестиz","тристаz","четырестаz","пятьсотz","шестьсотz","семьсотz","восемьсотz","девятьсотz"}</definedName>
    <definedName name="n_4" localSheetId="6">{"","стоz","двестиz","тристаz","четырестаz","пятьсотz","шестьсотz","семьсотz","восемьсотz","девятьсотz"}</definedName>
    <definedName name="n_4">{"","стоz","двестиz","тристаz","четырестаz","пятьсотz","шестьсотz","семьсотz","восемьсотz","девятьсотz"}</definedName>
    <definedName name="n_5" localSheetId="10">{"","однаz","двеz","триz","четыреz","пятьz","шестьz","семьz","восемьz","девятьz"}</definedName>
    <definedName name="n_5" localSheetId="9">{"","однаz","двеz","триz","четыреz","пятьz","шестьz","семьz","восемьz","девятьz"}</definedName>
    <definedName name="n_5" localSheetId="4">{"","однаz","двеz","триz","четыреz","пятьz","шестьz","семьz","восемьz","девятьz"}</definedName>
    <definedName name="n_5" localSheetId="8">{"","однаz","двеz","триz","четыреz","пятьz","шестьz","семьz","восемьz","девятьz"}</definedName>
    <definedName name="n_5" localSheetId="6">{"","однаz","двеz","триz","четыреz","пятьz","шестьz","семьz","восемьz","девятьz"}</definedName>
    <definedName name="n_5">{"","однаz","двеz","триz","четыреz","пятьz","шестьz","семьz","восемьz","девятьz"}</definedName>
    <definedName name="n0">"000000000000"&amp;MID(1/2,2,1)&amp;"00"</definedName>
    <definedName name="n0x" localSheetId="10">IF('Акт невозврата Вышки'!n_3=1,'Акт невозврата Вышки'!n_2,'Акт невозврата Вышки'!n_3&amp;'Акт невозврата Вышки'!n_1)</definedName>
    <definedName name="n0x" localSheetId="9">IF('Акт невозврата Леса'!n_3=1,'Акт невозврата Леса'!n_2,'Акт невозврата Леса'!n_3&amp;'Акт невозврата Леса'!n_1)</definedName>
    <definedName name="n0x" localSheetId="4">IF(ДляДоговора!n_3=1,ДляДоговора!n_2,ДляДоговора!n_3&amp;ДляДоговора!n_1)</definedName>
    <definedName name="n0x" localSheetId="8">IF(n_3=1,n_2,n_3&amp;n_1)</definedName>
    <definedName name="n0x" localSheetId="6">IF(n_3=1,n_2,n_3&amp;n_1)</definedName>
    <definedName name="n0x">IF(n_3=1,n_2,n_3&amp;n_1)</definedName>
    <definedName name="n1x" localSheetId="10">IF('Акт невозврата Вышки'!n_3=1,'Акт невозврата Вышки'!n_2,'Акт невозврата Вышки'!n_3&amp;'Акт невозврата Вышки'!n_5)</definedName>
    <definedName name="n1x" localSheetId="9">IF('Акт невозврата Леса'!n_3=1,'Акт невозврата Леса'!n_2,'Акт невозврата Леса'!n_3&amp;'Акт невозврата Леса'!n_5)</definedName>
    <definedName name="n1x" localSheetId="4">IF(ДляДоговора!n_3=1,ДляДоговора!n_2,ДляДоговора!n_3&amp;ДляДоговора!n_5)</definedName>
    <definedName name="n1x" localSheetId="8">IF(n_3=1,n_2,n_3&amp;n_5)</definedName>
    <definedName name="n1x" localSheetId="6">IF(n_3=1,n_2,n_3&amp;n_5)</definedName>
    <definedName name="n1x">IF(n_3=1,n_2,n_3&amp;n_5)</definedName>
    <definedName name="Договоры" localSheetId="10">'[1]Расчет лесов'!#REF!</definedName>
    <definedName name="Договоры" localSheetId="9">'[1]Расчет лесов'!#REF!</definedName>
    <definedName name="Договоры" localSheetId="4">'[1]Расчет лесов'!#REF!</definedName>
    <definedName name="Договоры" localSheetId="8">'Расчет лесов'!#REF!</definedName>
    <definedName name="Договоры">'Расчет лесов'!#REF!</definedName>
    <definedName name="мил" localSheetId="10">{0,"овz";1,"z";2,"аz";5,"овz"}</definedName>
    <definedName name="мил" localSheetId="9">{0,"овz";1,"z";2,"аz";5,"овz"}</definedName>
    <definedName name="мил" localSheetId="4">{0,"овz";1,"z";2,"аz";5,"овz"}</definedName>
    <definedName name="мил" localSheetId="8">{0,"овz";1,"z";2,"аz";5,"овz"}</definedName>
    <definedName name="мил" localSheetId="6">{0,"овz";1,"z";2,"аz";5,"овz"}</definedName>
    <definedName name="мил">{0,"овz";1,"z";2,"аz";5,"овz"}</definedName>
    <definedName name="_xlnm.Print_Area" localSheetId="10">'Акт невозврата Вышки'!$A$1:$AV$81</definedName>
    <definedName name="_xlnm.Print_Area" localSheetId="9">'Акт невозврата Леса'!$A$1:$AV$77</definedName>
    <definedName name="_xlnm.Print_Area" localSheetId="1">'Вышки туры'!$A$1:$K$57</definedName>
    <definedName name="_xlnm.Print_Area" localSheetId="2">'Договор аренды лесов Физ'!$A$1:$AS$184</definedName>
    <definedName name="_xlnm.Print_Area" localSheetId="5">'Договор аренды лесов Юр'!$A$1:$AS$240</definedName>
    <definedName name="_xlnm.Print_Area" localSheetId="3">'Договор аренды тур Физ'!$A$1:$AT$229</definedName>
    <definedName name="_xlnm.Print_Area" localSheetId="7">'Договор аренды тур Юр'!$A$1:$AS$239</definedName>
    <definedName name="_xlnm.Print_Area" localSheetId="0">'Расчет лесов'!$A$1:$R$38</definedName>
    <definedName name="_xlnm.Print_Area" localSheetId="8">'Счет Юр вышка'!$A$1:$AL$38</definedName>
    <definedName name="_xlnm.Print_Area" localSheetId="6">'Счет Юр леса'!$A$1:$AL$38</definedName>
    <definedName name="тыс" localSheetId="10">{0,"тысячz";1,"тысячаz";2,"тысячиz";5,"тысячz"}</definedName>
    <definedName name="тыс" localSheetId="9">{0,"тысячz";1,"тысячаz";2,"тысячиz";5,"тысячz"}</definedName>
    <definedName name="тыс" localSheetId="4">{0,"тысячz";1,"тысячаz";2,"тысячиz";5,"тысячz"}</definedName>
    <definedName name="тыс" localSheetId="8">{0,"тысячz";1,"тысячаz";2,"тысячиz";5,"тысячz"}</definedName>
    <definedName name="тыс" localSheetId="6">{0,"тысячz";1,"тысячаz";2,"тысячиz";5,"тысячz"}</definedName>
    <definedName name="тыс">{0,"тысячz";1,"тысячаz";2,"тысячиz";5,"тысячz"}</definedName>
  </definedNames>
  <calcPr calcId="125725"/>
</workbook>
</file>

<file path=xl/calcChain.xml><?xml version="1.0" encoding="utf-8"?>
<calcChain xmlns="http://schemas.openxmlformats.org/spreadsheetml/2006/main">
  <c r="F17" i="10"/>
  <c r="Q13" i="2"/>
  <c r="D8" i="3"/>
  <c r="L25" i="2"/>
  <c r="AI259" i="5"/>
  <c r="AI258"/>
  <c r="R258"/>
  <c r="R259"/>
  <c r="E257"/>
  <c r="E228"/>
  <c r="AM189"/>
  <c r="AF189"/>
  <c r="AF188"/>
  <c r="Y189"/>
  <c r="Y188"/>
  <c r="AM188" s="1"/>
  <c r="E188"/>
  <c r="E229" s="1"/>
  <c r="E189"/>
  <c r="E230" s="1"/>
  <c r="E187"/>
  <c r="X148"/>
  <c r="X147"/>
  <c r="T148"/>
  <c r="T147"/>
  <c r="AJ147"/>
  <c r="AJ148"/>
  <c r="D15" i="2"/>
  <c r="D14"/>
  <c r="E258" i="5" l="1"/>
  <c r="E259"/>
  <c r="AO148"/>
  <c r="AD147"/>
  <c r="AD148"/>
  <c r="AO147"/>
  <c r="A4" i="20" l="1"/>
  <c r="A5"/>
  <c r="A6"/>
  <c r="A7"/>
  <c r="A8"/>
  <c r="A3"/>
  <c r="A11" i="8"/>
  <c r="A12"/>
  <c r="AG63" i="19"/>
  <c r="AN63" s="1"/>
  <c r="AG64"/>
  <c r="AN64" s="1"/>
  <c r="AG65"/>
  <c r="AN65" s="1"/>
  <c r="AG66"/>
  <c r="AN66" s="1"/>
  <c r="AG67"/>
  <c r="AN67" s="1"/>
  <c r="AG68"/>
  <c r="AN68" s="1"/>
  <c r="AG69"/>
  <c r="AN69" s="1"/>
  <c r="AG70"/>
  <c r="AN70" s="1"/>
  <c r="AG62"/>
  <c r="AN62" s="1"/>
  <c r="AG21"/>
  <c r="AG22"/>
  <c r="AG50" s="1"/>
  <c r="AG23"/>
  <c r="AG51" s="1"/>
  <c r="AG24"/>
  <c r="AG38" s="1"/>
  <c r="AN38" s="1"/>
  <c r="AG25"/>
  <c r="AG53" s="1"/>
  <c r="AG26"/>
  <c r="AG40" s="1"/>
  <c r="AN40" s="1"/>
  <c r="AG27"/>
  <c r="AG41" s="1"/>
  <c r="AN41" s="1"/>
  <c r="AG28"/>
  <c r="AG20"/>
  <c r="AG34" s="1"/>
  <c r="AN34" s="1"/>
  <c r="E21"/>
  <c r="E35" s="1"/>
  <c r="E22"/>
  <c r="E50" s="1"/>
  <c r="E23"/>
  <c r="E65" s="1"/>
  <c r="E24"/>
  <c r="E38" s="1"/>
  <c r="E25"/>
  <c r="E67" s="1"/>
  <c r="E26"/>
  <c r="E54" s="1"/>
  <c r="E27"/>
  <c r="E69" s="1"/>
  <c r="E28"/>
  <c r="E70" s="1"/>
  <c r="E20"/>
  <c r="E48" s="1"/>
  <c r="BO3" i="18"/>
  <c r="BO3" i="19"/>
  <c r="BP3" s="1"/>
  <c r="AC9" s="1"/>
  <c r="BP4"/>
  <c r="AC10"/>
  <c r="A7" i="8"/>
  <c r="AG42" i="19"/>
  <c r="AN42" s="1"/>
  <c r="E42"/>
  <c r="BO11"/>
  <c r="AC11"/>
  <c r="BO10"/>
  <c r="BP10" s="1"/>
  <c r="BO9"/>
  <c r="E21" i="18"/>
  <c r="E34" s="1"/>
  <c r="E22"/>
  <c r="E35" s="1"/>
  <c r="E23"/>
  <c r="E36" s="1"/>
  <c r="E24"/>
  <c r="E37" s="1"/>
  <c r="E25"/>
  <c r="E38" s="1"/>
  <c r="E20"/>
  <c r="AG37" i="19" l="1"/>
  <c r="AN37" s="1"/>
  <c r="AG52"/>
  <c r="AG39"/>
  <c r="AN39" s="1"/>
  <c r="AG48"/>
  <c r="E56"/>
  <c r="E52"/>
  <c r="E51"/>
  <c r="E66"/>
  <c r="E63"/>
  <c r="E37"/>
  <c r="E39"/>
  <c r="E34"/>
  <c r="E41"/>
  <c r="AG49"/>
  <c r="AG35"/>
  <c r="AN35" s="1"/>
  <c r="AG54"/>
  <c r="E55"/>
  <c r="AN71"/>
  <c r="BO66" s="1"/>
  <c r="E62"/>
  <c r="B9"/>
  <c r="E40"/>
  <c r="E49"/>
  <c r="E53"/>
  <c r="AG56"/>
  <c r="AG55"/>
  <c r="E64"/>
  <c r="AG36"/>
  <c r="AN36" s="1"/>
  <c r="E36"/>
  <c r="E68"/>
  <c r="AN43" l="1"/>
  <c r="AC10" i="18" l="1"/>
  <c r="BP4"/>
  <c r="AG66"/>
  <c r="AN66" s="1"/>
  <c r="E66"/>
  <c r="AG65"/>
  <c r="AN65" s="1"/>
  <c r="E65"/>
  <c r="AG64"/>
  <c r="AN64" s="1"/>
  <c r="AG63"/>
  <c r="AN63" s="1"/>
  <c r="AG62"/>
  <c r="AN62" s="1"/>
  <c r="AG61"/>
  <c r="AN61" s="1"/>
  <c r="AG60"/>
  <c r="AN60" s="1"/>
  <c r="AG59"/>
  <c r="AN59" s="1"/>
  <c r="AN53"/>
  <c r="AG53"/>
  <c r="AB53"/>
  <c r="E53"/>
  <c r="AN52"/>
  <c r="AG52"/>
  <c r="AB52"/>
  <c r="E52"/>
  <c r="E51"/>
  <c r="E47"/>
  <c r="AN40"/>
  <c r="AG40"/>
  <c r="E40"/>
  <c r="AN39"/>
  <c r="AG39"/>
  <c r="E39"/>
  <c r="E64"/>
  <c r="E50"/>
  <c r="E62"/>
  <c r="E61"/>
  <c r="E60"/>
  <c r="E46"/>
  <c r="BO11"/>
  <c r="AC11"/>
  <c r="BO10"/>
  <c r="BP10" s="1"/>
  <c r="BO9"/>
  <c r="BP3"/>
  <c r="AC9" s="1"/>
  <c r="F19" i="10"/>
  <c r="AY7"/>
  <c r="A247" i="7"/>
  <c r="A245"/>
  <c r="A212"/>
  <c r="A173"/>
  <c r="A171"/>
  <c r="A154"/>
  <c r="A153"/>
  <c r="A130"/>
  <c r="X115"/>
  <c r="V118" i="5"/>
  <c r="B116" i="7"/>
  <c r="B119" i="5"/>
  <c r="B115" i="7"/>
  <c r="B118" i="5"/>
  <c r="B114" i="7"/>
  <c r="B117" i="5"/>
  <c r="B113" i="7"/>
  <c r="B116" i="5"/>
  <c r="B112" i="7"/>
  <c r="B111"/>
  <c r="B110"/>
  <c r="B109"/>
  <c r="A7"/>
  <c r="A5"/>
  <c r="F19" i="9"/>
  <c r="A246" i="5"/>
  <c r="A213"/>
  <c r="A176"/>
  <c r="A159"/>
  <c r="A158"/>
  <c r="A135"/>
  <c r="B115"/>
  <c r="B114"/>
  <c r="B113"/>
  <c r="B112"/>
  <c r="A5"/>
  <c r="E4" i="17"/>
  <c r="E3"/>
  <c r="F3" s="1"/>
  <c r="E2"/>
  <c r="AH176" i="5" l="1"/>
  <c r="F4" i="17"/>
  <c r="AN67" i="18"/>
  <c r="BO63" s="1"/>
  <c r="A6" i="8" s="1"/>
  <c r="B9" i="18"/>
  <c r="E63"/>
  <c r="E49"/>
  <c r="E48"/>
  <c r="E33"/>
  <c r="E59"/>
  <c r="AH245" i="7"/>
  <c r="AH171"/>
  <c r="AH246" i="5"/>
  <c r="B3" i="17"/>
  <c r="H3"/>
  <c r="H46" i="3"/>
  <c r="H45"/>
  <c r="H44"/>
  <c r="H43"/>
  <c r="H42"/>
  <c r="H41"/>
  <c r="H40"/>
  <c r="H39"/>
  <c r="H38"/>
  <c r="H37"/>
  <c r="H36"/>
  <c r="AI34" i="2"/>
  <c r="C10" s="1"/>
  <c r="AI35"/>
  <c r="C11" s="1"/>
  <c r="AI36"/>
  <c r="C12" s="1"/>
  <c r="AI37"/>
  <c r="C13" s="1"/>
  <c r="AI33"/>
  <c r="C9" s="1"/>
  <c r="AI32"/>
  <c r="C8" s="1"/>
  <c r="B2" i="17" l="1"/>
  <c r="AL208" i="7"/>
  <c r="AL241"/>
  <c r="AL125"/>
  <c r="AL167"/>
  <c r="AL242" i="5"/>
  <c r="AK5" i="7"/>
  <c r="AL172" i="5"/>
  <c r="AL209"/>
  <c r="AK5"/>
  <c r="AL130"/>
  <c r="AF143" i="7"/>
  <c r="AF142"/>
  <c r="AF141"/>
  <c r="AF136"/>
  <c r="AF137"/>
  <c r="AF138"/>
  <c r="AF139"/>
  <c r="AF140"/>
  <c r="AF135"/>
  <c r="K21" i="2"/>
  <c r="K7" i="3"/>
  <c r="E177" i="7"/>
  <c r="A37" i="3"/>
  <c r="A38"/>
  <c r="A39"/>
  <c r="A40"/>
  <c r="A41"/>
  <c r="A42"/>
  <c r="A43"/>
  <c r="A44"/>
  <c r="A45"/>
  <c r="A46"/>
  <c r="A36"/>
  <c r="A166" i="7" l="1"/>
  <c r="A15" i="19"/>
  <c r="A124" i="7"/>
  <c r="A43" i="18"/>
  <c r="A3" i="5"/>
  <c r="A129"/>
  <c r="A3" i="7"/>
  <c r="A241" i="5"/>
  <c r="D22" i="9"/>
  <c r="A171" i="5"/>
  <c r="A179"/>
  <c r="A207" i="7"/>
  <c r="A174"/>
  <c r="A45" i="19"/>
  <c r="A71" i="18"/>
  <c r="A214" i="7"/>
  <c r="A75" i="19"/>
  <c r="A15" i="18"/>
  <c r="D22" i="10"/>
  <c r="A208" i="5"/>
  <c r="A240" i="7"/>
  <c r="H14" i="3"/>
  <c r="F14" s="1"/>
  <c r="H15"/>
  <c r="F15" s="1"/>
  <c r="H16"/>
  <c r="F16" s="1"/>
  <c r="H17"/>
  <c r="F17" s="1"/>
  <c r="H18"/>
  <c r="H19"/>
  <c r="F19" s="1"/>
  <c r="H20"/>
  <c r="F20" s="1"/>
  <c r="H21"/>
  <c r="F21" s="1"/>
  <c r="H22"/>
  <c r="F22" s="1"/>
  <c r="H23"/>
  <c r="F23" s="1"/>
  <c r="H24"/>
  <c r="F24" s="1"/>
  <c r="H25"/>
  <c r="F25" s="1"/>
  <c r="H26"/>
  <c r="F26" s="1"/>
  <c r="H27"/>
  <c r="F27" s="1"/>
  <c r="H28"/>
  <c r="F28" s="1"/>
  <c r="H29"/>
  <c r="H13"/>
  <c r="F13" s="1"/>
  <c r="B45" l="1"/>
  <c r="L5"/>
  <c r="J8"/>
  <c r="BL9" i="5" l="1"/>
  <c r="A150" i="7"/>
  <c r="A155" i="5"/>
  <c r="Y7" i="2"/>
  <c r="R13"/>
  <c r="F18" i="3"/>
  <c r="BX155" i="7"/>
  <c r="BX152" i="5"/>
  <c r="BX13" i="7"/>
  <c r="B105" s="1"/>
  <c r="BX12"/>
  <c r="B106" s="1"/>
  <c r="BX11"/>
  <c r="B5" i="10" s="1"/>
  <c r="BX10" i="7"/>
  <c r="BX9"/>
  <c r="B101" s="1"/>
  <c r="BX8"/>
  <c r="B102" s="1"/>
  <c r="BX7"/>
  <c r="B107" s="1"/>
  <c r="BX6"/>
  <c r="M8" i="10" s="1"/>
  <c r="BX5" i="7"/>
  <c r="D8" i="10" s="1"/>
  <c r="BX4" i="7"/>
  <c r="M121" s="1"/>
  <c r="BX3"/>
  <c r="BX2"/>
  <c r="BX3" i="5"/>
  <c r="BX4"/>
  <c r="M124" s="1"/>
  <c r="BX5"/>
  <c r="D8" i="9" s="1"/>
  <c r="F17" s="1"/>
  <c r="BX6" i="5"/>
  <c r="M8" i="9" s="1"/>
  <c r="BX7" i="5"/>
  <c r="B110" s="1"/>
  <c r="BX8"/>
  <c r="B105" s="1"/>
  <c r="BX9"/>
  <c r="B104" s="1"/>
  <c r="BX10"/>
  <c r="X8" i="9" s="1"/>
  <c r="BX11" i="5"/>
  <c r="B5" i="9" s="1"/>
  <c r="BX12" i="5"/>
  <c r="B109" s="1"/>
  <c r="BX13"/>
  <c r="B108" s="1"/>
  <c r="BX2"/>
  <c r="A178" l="1"/>
  <c r="A248"/>
  <c r="A215"/>
  <c r="B103"/>
  <c r="A7"/>
  <c r="B104" i="7"/>
  <c r="AX32" i="10"/>
  <c r="AE33" s="1"/>
  <c r="AX32" i="9"/>
  <c r="X5" i="10"/>
  <c r="X8"/>
  <c r="X6"/>
  <c r="X6" i="9"/>
  <c r="M237" i="5"/>
  <c r="X5" i="9"/>
  <c r="M163" i="7"/>
  <c r="M203"/>
  <c r="B103"/>
  <c r="B100"/>
  <c r="M168" i="5"/>
  <c r="B106"/>
  <c r="M204"/>
  <c r="B107"/>
  <c r="B1" i="15"/>
  <c r="O1"/>
  <c r="K33" i="10" l="1"/>
  <c r="AE33" i="9"/>
  <c r="K33"/>
  <c r="O16" i="15"/>
  <c r="O19"/>
  <c r="O13"/>
  <c r="O10"/>
  <c r="O7"/>
  <c r="O7" i="2"/>
  <c r="AU62" i="5"/>
  <c r="AU150" i="7"/>
  <c r="AV150" s="1"/>
  <c r="AU155" i="5"/>
  <c r="AV155" s="1"/>
  <c r="AI252" i="7"/>
  <c r="AI253"/>
  <c r="AI254"/>
  <c r="AI255"/>
  <c r="AI256"/>
  <c r="AI257"/>
  <c r="AI258"/>
  <c r="AI259"/>
  <c r="AI251"/>
  <c r="A243"/>
  <c r="A169"/>
  <c r="A127"/>
  <c r="A244" i="5"/>
  <c r="A174"/>
  <c r="A132"/>
  <c r="U25" i="10"/>
  <c r="U24"/>
  <c r="U23"/>
  <c r="U25" i="9"/>
  <c r="U24"/>
  <c r="AV150" i="5"/>
  <c r="AV153" s="1"/>
  <c r="M1" i="3"/>
  <c r="C3" s="1"/>
  <c r="B5" s="1"/>
  <c r="Q1" i="2"/>
  <c r="AV152" i="5" l="1"/>
  <c r="D4" i="3"/>
  <c r="D5" s="1"/>
  <c r="G7" s="1"/>
  <c r="C7"/>
  <c r="AM153" i="7"/>
  <c r="AM154"/>
  <c r="B41" i="3"/>
  <c r="E139" i="7"/>
  <c r="E187" s="1"/>
  <c r="AU63"/>
  <c r="A63" s="1"/>
  <c r="E230"/>
  <c r="E223"/>
  <c r="E252" s="1"/>
  <c r="E224"/>
  <c r="E225"/>
  <c r="E226"/>
  <c r="E227"/>
  <c r="E228"/>
  <c r="E229"/>
  <c r="E222"/>
  <c r="AV145"/>
  <c r="AV148" s="1"/>
  <c r="AW153" i="5"/>
  <c r="AW152"/>
  <c r="AW148" i="7"/>
  <c r="AW147"/>
  <c r="E143"/>
  <c r="E191" s="1"/>
  <c r="E142"/>
  <c r="E190" s="1"/>
  <c r="E141"/>
  <c r="E189" s="1"/>
  <c r="E140"/>
  <c r="E188" s="1"/>
  <c r="E138"/>
  <c r="E186" s="1"/>
  <c r="E137"/>
  <c r="E185" s="1"/>
  <c r="E136"/>
  <c r="E184" s="1"/>
  <c r="E135"/>
  <c r="E183" s="1"/>
  <c r="Y177"/>
  <c r="AW23"/>
  <c r="AW22"/>
  <c r="AI257" i="5"/>
  <c r="AI256"/>
  <c r="AF187"/>
  <c r="AF186"/>
  <c r="X146"/>
  <c r="AG25" i="18" s="1"/>
  <c r="X145" i="5"/>
  <c r="AG24" i="18" s="1"/>
  <c r="G9" i="3"/>
  <c r="AF185" i="5"/>
  <c r="AI254"/>
  <c r="AF183"/>
  <c r="AI252"/>
  <c r="F5" i="3"/>
  <c r="BF10" i="10"/>
  <c r="AY6" s="1"/>
  <c r="BF10" i="7"/>
  <c r="BL13" s="1"/>
  <c r="BL10"/>
  <c r="BL9"/>
  <c r="BL8"/>
  <c r="AY7" i="9"/>
  <c r="BF10"/>
  <c r="AY6" s="1"/>
  <c r="BL10" i="5"/>
  <c r="BF10"/>
  <c r="BL13" s="1"/>
  <c r="Q4" i="2"/>
  <c r="R4" s="1"/>
  <c r="G5" i="14"/>
  <c r="G4"/>
  <c r="G3"/>
  <c r="C6"/>
  <c r="B12" s="1"/>
  <c r="AG51" i="18" l="1"/>
  <c r="AG38"/>
  <c r="AN38" s="1"/>
  <c r="AG50"/>
  <c r="AG37"/>
  <c r="AN37" s="1"/>
  <c r="C153" i="5"/>
  <c r="A128" i="7"/>
  <c r="C148"/>
  <c r="C152" i="5"/>
  <c r="AV147" i="7"/>
  <c r="C147" s="1"/>
  <c r="X141" i="5"/>
  <c r="AG20" i="18" s="1"/>
  <c r="X143" i="5"/>
  <c r="AG22" i="18" s="1"/>
  <c r="AF182" i="5"/>
  <c r="AF184"/>
  <c r="AI253"/>
  <c r="AI255"/>
  <c r="X142"/>
  <c r="AG21" i="18" s="1"/>
  <c r="X144" i="5"/>
  <c r="AG23" i="18" s="1"/>
  <c r="BL11" i="7"/>
  <c r="BL11" i="5"/>
  <c r="G6" i="14"/>
  <c r="B11"/>
  <c r="BL8" i="5"/>
  <c r="AY5" i="10"/>
  <c r="B13" s="1"/>
  <c r="AY5" i="9"/>
  <c r="B13" s="1"/>
  <c r="U23"/>
  <c r="S12" i="3"/>
  <c r="J34"/>
  <c r="B37" s="1"/>
  <c r="T14"/>
  <c r="H1"/>
  <c r="AG49" i="18" l="1"/>
  <c r="AG36"/>
  <c r="AN36" s="1"/>
  <c r="AG48"/>
  <c r="AG35"/>
  <c r="AN35" s="1"/>
  <c r="AG46"/>
  <c r="AG33"/>
  <c r="AN33" s="1"/>
  <c r="AG47"/>
  <c r="AG34"/>
  <c r="AN34" s="1"/>
  <c r="D19" i="2"/>
  <c r="AM159" i="5" s="1"/>
  <c r="Q151" i="4"/>
  <c r="AN41" i="18" l="1"/>
  <c r="AF134" i="6"/>
  <c r="BL6" i="4" l="1"/>
  <c r="BL5"/>
  <c r="D43" i="3" l="1"/>
  <c r="I43" s="1"/>
  <c r="D205" i="6"/>
  <c r="D204"/>
  <c r="D203"/>
  <c r="D202"/>
  <c r="D201"/>
  <c r="D200"/>
  <c r="D199"/>
  <c r="D198"/>
  <c r="D197"/>
  <c r="D196"/>
  <c r="D195"/>
  <c r="P157"/>
  <c r="D46" i="3"/>
  <c r="I46" s="1"/>
  <c r="D45"/>
  <c r="I45" s="1"/>
  <c r="D44"/>
  <c r="I44" s="1"/>
  <c r="D42"/>
  <c r="I42" s="1"/>
  <c r="D41"/>
  <c r="I41" s="1"/>
  <c r="D36"/>
  <c r="I36" s="1"/>
  <c r="D33"/>
  <c r="Y141" i="7" l="1"/>
  <c r="R251"/>
  <c r="R259"/>
  <c r="R258"/>
  <c r="R256"/>
  <c r="AI189"/>
  <c r="R257"/>
  <c r="Y135"/>
  <c r="AI183"/>
  <c r="Y142"/>
  <c r="AI190"/>
  <c r="Y140"/>
  <c r="AI188"/>
  <c r="Y143"/>
  <c r="AI191"/>
  <c r="AH205" i="6"/>
  <c r="AH195"/>
  <c r="AH204"/>
  <c r="AH201"/>
  <c r="AH202"/>
  <c r="AH203"/>
  <c r="AM135" i="7" l="1"/>
  <c r="AB20" i="19"/>
  <c r="AM141" i="7"/>
  <c r="AB26" i="19"/>
  <c r="AM142" i="7"/>
  <c r="AB27" i="19"/>
  <c r="AM143" i="7"/>
  <c r="AB28" i="19"/>
  <c r="AM140" i="7"/>
  <c r="AB25" i="19"/>
  <c r="AL22" i="2"/>
  <c r="AL21"/>
  <c r="AB48" i="19" l="1"/>
  <c r="AN48" s="1"/>
  <c r="AN20"/>
  <c r="AB54"/>
  <c r="AN54" s="1"/>
  <c r="AN26"/>
  <c r="AB55"/>
  <c r="AN55" s="1"/>
  <c r="AN27"/>
  <c r="AB56"/>
  <c r="AN56" s="1"/>
  <c r="AN28"/>
  <c r="AN25"/>
  <c r="AB53"/>
  <c r="AN53" s="1"/>
  <c r="B40" i="3"/>
  <c r="B38"/>
  <c r="B39"/>
  <c r="AM170" i="6"/>
  <c r="Y167"/>
  <c r="BL3"/>
  <c r="BL6" i="5"/>
  <c r="BL5"/>
  <c r="AB25" i="10"/>
  <c r="AH25" s="1"/>
  <c r="AB24"/>
  <c r="AH24" s="1"/>
  <c r="U22"/>
  <c r="BL3" i="7"/>
  <c r="D38" i="3" l="1"/>
  <c r="I38" s="1"/>
  <c r="D40"/>
  <c r="I40" s="1"/>
  <c r="D39"/>
  <c r="I39" s="1"/>
  <c r="D37"/>
  <c r="I37" s="1"/>
  <c r="A19" i="4"/>
  <c r="R255" i="7" l="1"/>
  <c r="R253"/>
  <c r="R254"/>
  <c r="R252"/>
  <c r="AI184"/>
  <c r="Y136"/>
  <c r="Y137"/>
  <c r="AI185"/>
  <c r="Y138"/>
  <c r="AI186"/>
  <c r="Y139"/>
  <c r="AI187"/>
  <c r="AH197" i="6"/>
  <c r="AH198"/>
  <c r="AH196"/>
  <c r="AH199"/>
  <c r="AM136" i="7" l="1"/>
  <c r="AM144" s="1"/>
  <c r="AM177" s="1"/>
  <c r="AF177" s="1"/>
  <c r="AB21" i="19"/>
  <c r="AM139" i="7"/>
  <c r="AB24" i="19"/>
  <c r="AM137" i="7"/>
  <c r="AB22" i="19"/>
  <c r="AM138" i="7"/>
  <c r="AB23" i="19"/>
  <c r="I48" i="3"/>
  <c r="BL3" i="5"/>
  <c r="U22" i="9"/>
  <c r="AB52" i="19" l="1"/>
  <c r="AN52" s="1"/>
  <c r="AN24"/>
  <c r="AB49"/>
  <c r="AN49" s="1"/>
  <c r="AN21"/>
  <c r="AB50"/>
  <c r="AN50" s="1"/>
  <c r="AN22"/>
  <c r="AN23"/>
  <c r="AB51"/>
  <c r="AN51" s="1"/>
  <c r="C5" i="3"/>
  <c r="G14"/>
  <c r="G15"/>
  <c r="G16"/>
  <c r="G17"/>
  <c r="G18"/>
  <c r="G19"/>
  <c r="G20"/>
  <c r="G21"/>
  <c r="G22"/>
  <c r="G23"/>
  <c r="G24"/>
  <c r="G25"/>
  <c r="G26"/>
  <c r="G27"/>
  <c r="G28"/>
  <c r="G13"/>
  <c r="AM171" i="6"/>
  <c r="E171"/>
  <c r="E170"/>
  <c r="C163"/>
  <c r="AK161"/>
  <c r="AK157"/>
  <c r="AK5"/>
  <c r="E172"/>
  <c r="A2"/>
  <c r="B34" i="8"/>
  <c r="B32"/>
  <c r="A29"/>
  <c r="A28"/>
  <c r="A27"/>
  <c r="A26"/>
  <c r="A25"/>
  <c r="B22"/>
  <c r="B21"/>
  <c r="B20"/>
  <c r="B19"/>
  <c r="B18"/>
  <c r="B17"/>
  <c r="B16"/>
  <c r="B15"/>
  <c r="B14"/>
  <c r="B12"/>
  <c r="B11"/>
  <c r="B9"/>
  <c r="B7"/>
  <c r="B6"/>
  <c r="B3"/>
  <c r="AM170" i="4"/>
  <c r="E170"/>
  <c r="AM169"/>
  <c r="E169"/>
  <c r="AF166"/>
  <c r="AF165"/>
  <c r="AF164"/>
  <c r="AF163"/>
  <c r="AF162"/>
  <c r="AF161"/>
  <c r="C157"/>
  <c r="AK155"/>
  <c r="AK151"/>
  <c r="AK5"/>
  <c r="BL3"/>
  <c r="E171" s="1"/>
  <c r="A2"/>
  <c r="AN57" i="19" l="1"/>
  <c r="BO65" s="1"/>
  <c r="A10" i="8" s="1"/>
  <c r="B10" s="1"/>
  <c r="A73" i="19" s="1"/>
  <c r="AN29"/>
  <c r="H3" i="3"/>
  <c r="E167" i="6"/>
  <c r="B27" i="8"/>
  <c r="B25"/>
  <c r="B29"/>
  <c r="B26"/>
  <c r="B28"/>
  <c r="G5" i="3" l="1"/>
  <c r="D9"/>
  <c r="BO72" i="19"/>
  <c r="A13" i="8" s="1"/>
  <c r="B13" s="1"/>
  <c r="A74" i="19" s="1"/>
  <c r="B8" i="3"/>
  <c r="AV177" i="7"/>
  <c r="AM179"/>
  <c r="AF167" i="6"/>
  <c r="AM167" s="1"/>
  <c r="AM168" s="1"/>
  <c r="A22" i="2"/>
  <c r="AB25" i="9"/>
  <c r="AH25" s="1"/>
  <c r="D18" i="2"/>
  <c r="B13"/>
  <c r="R257" i="5" s="1"/>
  <c r="B12" i="2"/>
  <c r="R256" i="5" s="1"/>
  <c r="G6" i="3" l="1"/>
  <c r="AM155" i="7" s="1"/>
  <c r="H49" i="3"/>
  <c r="K4" i="15"/>
  <c r="K8" s="1"/>
  <c r="K11" s="1"/>
  <c r="K14" s="1"/>
  <c r="K17" s="1"/>
  <c r="K20" s="1"/>
  <c r="AJ22" i="2"/>
  <c r="AI22"/>
  <c r="J4" i="15"/>
  <c r="J8" s="1"/>
  <c r="J11" s="1"/>
  <c r="J14" s="1"/>
  <c r="J17" s="1"/>
  <c r="J20" s="1"/>
  <c r="AI21" i="2"/>
  <c r="AJ21"/>
  <c r="AB24" i="9"/>
  <c r="AH24" s="1"/>
  <c r="AM158" i="5"/>
  <c r="G8" i="3"/>
  <c r="AM152" i="7" s="1"/>
  <c r="Y187" i="5"/>
  <c r="AM187" s="1"/>
  <c r="T146"/>
  <c r="Y186"/>
  <c r="AM186" s="1"/>
  <c r="T145"/>
  <c r="K3" i="3"/>
  <c r="Y165" i="4"/>
  <c r="AM165" s="1"/>
  <c r="Y166"/>
  <c r="K10" i="2"/>
  <c r="J10"/>
  <c r="M10" s="1"/>
  <c r="L9"/>
  <c r="K8"/>
  <c r="J8"/>
  <c r="L7"/>
  <c r="K6"/>
  <c r="J6"/>
  <c r="L5"/>
  <c r="K4"/>
  <c r="J4"/>
  <c r="L3"/>
  <c r="L12" l="1"/>
  <c r="C2" s="1"/>
  <c r="AB25" i="18"/>
  <c r="C8" i="20"/>
  <c r="G8" s="1"/>
  <c r="AB24" i="18"/>
  <c r="C7" i="20"/>
  <c r="G7" s="1"/>
  <c r="M8" i="2"/>
  <c r="M6"/>
  <c r="AD145" i="5"/>
  <c r="AD146"/>
  <c r="M4" i="2"/>
  <c r="AB23" i="10"/>
  <c r="AH23" s="1"/>
  <c r="AM169" i="6"/>
  <c r="L18" i="2"/>
  <c r="L19"/>
  <c r="M19"/>
  <c r="M18"/>
  <c r="K18"/>
  <c r="K19"/>
  <c r="M17"/>
  <c r="K17"/>
  <c r="L17"/>
  <c r="J19"/>
  <c r="J18"/>
  <c r="J16"/>
  <c r="L16"/>
  <c r="K16"/>
  <c r="M16"/>
  <c r="J17"/>
  <c r="M7"/>
  <c r="E168" i="4"/>
  <c r="M5" i="2"/>
  <c r="M3"/>
  <c r="AM166" i="4"/>
  <c r="AB51" i="18" l="1"/>
  <c r="AN51" s="1"/>
  <c r="AN25"/>
  <c r="AN24"/>
  <c r="AB50"/>
  <c r="AN50" s="1"/>
  <c r="J22" i="2"/>
  <c r="D12"/>
  <c r="AW18" i="5"/>
  <c r="A133" s="1"/>
  <c r="B8" i="2"/>
  <c r="B11"/>
  <c r="R255" i="5" l="1"/>
  <c r="AI20" i="2"/>
  <c r="R252" i="5"/>
  <c r="I4" i="15"/>
  <c r="I8" s="1"/>
  <c r="I11" s="1"/>
  <c r="I14" s="1"/>
  <c r="I17" s="1"/>
  <c r="I20" s="1"/>
  <c r="AJ20" i="2"/>
  <c r="F4" i="15"/>
  <c r="F8" s="1"/>
  <c r="AJ17" i="2"/>
  <c r="Y185" i="5"/>
  <c r="AM185" s="1"/>
  <c r="T144"/>
  <c r="Y182"/>
  <c r="AM182" s="1"/>
  <c r="T141"/>
  <c r="B1"/>
  <c r="AX21" s="1"/>
  <c r="AI17" i="2"/>
  <c r="D8"/>
  <c r="Y161" i="4"/>
  <c r="AM161" s="1"/>
  <c r="Y164"/>
  <c r="AM164" s="1"/>
  <c r="D11" i="2"/>
  <c r="B9"/>
  <c r="B10"/>
  <c r="M9"/>
  <c r="D13"/>
  <c r="L21"/>
  <c r="A17"/>
  <c r="R254" i="5" l="1"/>
  <c r="AI19" i="2"/>
  <c r="R253" i="5"/>
  <c r="AI18" i="2"/>
  <c r="D16"/>
  <c r="L26" s="1"/>
  <c r="AB20" i="18"/>
  <c r="C3" i="20"/>
  <c r="G3" s="1"/>
  <c r="C6"/>
  <c r="G6" s="1"/>
  <c r="AB23" i="18"/>
  <c r="V2" i="2"/>
  <c r="C3" s="1"/>
  <c r="G4" i="15"/>
  <c r="G8" s="1"/>
  <c r="G11" s="1"/>
  <c r="G14" s="1"/>
  <c r="G17" s="1"/>
  <c r="G20" s="1"/>
  <c r="AJ18" i="2"/>
  <c r="H4" i="15"/>
  <c r="H8" s="1"/>
  <c r="H11" s="1"/>
  <c r="H14" s="1"/>
  <c r="H17" s="1"/>
  <c r="H20" s="1"/>
  <c r="AJ19" i="2"/>
  <c r="F11" i="15"/>
  <c r="AD141" i="5"/>
  <c r="AD144"/>
  <c r="Y183"/>
  <c r="AM183" s="1"/>
  <c r="T142"/>
  <c r="Y184"/>
  <c r="AM184" s="1"/>
  <c r="T143"/>
  <c r="Y9" i="2"/>
  <c r="D10"/>
  <c r="Y162" i="4"/>
  <c r="AM162" s="1"/>
  <c r="Y163"/>
  <c r="AM163" s="1"/>
  <c r="D9" i="2"/>
  <c r="AM190" i="5" l="1"/>
  <c r="AD149"/>
  <c r="AN20" i="18"/>
  <c r="AB46"/>
  <c r="AN46" s="1"/>
  <c r="AN23"/>
  <c r="AB49"/>
  <c r="AN49" s="1"/>
  <c r="AB21"/>
  <c r="C4" i="20"/>
  <c r="G4" s="1"/>
  <c r="C5"/>
  <c r="G5" s="1"/>
  <c r="AB22" i="18"/>
  <c r="AJ24" i="2"/>
  <c r="O9" s="1"/>
  <c r="Z5" s="1"/>
  <c r="F14" i="15"/>
  <c r="AD143" i="5"/>
  <c r="AD142"/>
  <c r="AI24" i="2"/>
  <c r="AM167" i="4"/>
  <c r="AB47" i="18" l="1"/>
  <c r="AN47" s="1"/>
  <c r="AN21"/>
  <c r="AN22"/>
  <c r="AB48"/>
  <c r="AN48" s="1"/>
  <c r="AJ25" i="2"/>
  <c r="O3" s="1"/>
  <c r="O8"/>
  <c r="R8" s="1"/>
  <c r="F17" i="15"/>
  <c r="E10" i="2"/>
  <c r="E8"/>
  <c r="E9"/>
  <c r="E11"/>
  <c r="E12"/>
  <c r="E13"/>
  <c r="D17"/>
  <c r="AM157" i="5" s="1"/>
  <c r="C5" i="2"/>
  <c r="AN54" i="18" l="1"/>
  <c r="BO62" s="1"/>
  <c r="A5" i="8" s="1"/>
  <c r="B5" s="1"/>
  <c r="A69" i="18" s="1"/>
  <c r="AN28"/>
  <c r="F20" i="15"/>
  <c r="AB23" i="9"/>
  <c r="AH23" s="1"/>
  <c r="D25" i="2"/>
  <c r="AM168" i="4"/>
  <c r="BO68" i="18" l="1"/>
  <c r="A8" i="8" s="1"/>
  <c r="B8" s="1"/>
  <c r="A70" i="18" s="1"/>
  <c r="S16" i="3"/>
  <c r="AB22" i="10" s="1"/>
  <c r="AH22" s="1"/>
  <c r="AH26" s="1"/>
  <c r="AM151" i="7"/>
  <c r="AX27" i="10" l="1"/>
  <c r="AH27" s="1"/>
  <c r="AM172" i="6"/>
  <c r="AM173" s="1"/>
  <c r="AH28" i="10"/>
  <c r="B29" s="1"/>
  <c r="A3"/>
  <c r="B30" s="1"/>
  <c r="A1" i="6"/>
  <c r="AW11" s="1"/>
  <c r="C50" s="1"/>
  <c r="A1" i="7"/>
  <c r="AW24" s="1"/>
  <c r="C149" s="1"/>
  <c r="AO149" i="5" l="1"/>
  <c r="P22" i="2"/>
  <c r="F9"/>
  <c r="G9" s="1"/>
  <c r="AV142" i="5" s="1"/>
  <c r="AB22" i="9"/>
  <c r="AH22" s="1"/>
  <c r="AH26" s="1"/>
  <c r="AX27" s="1"/>
  <c r="F8" i="2"/>
  <c r="G8" s="1"/>
  <c r="AV141" i="5" s="1"/>
  <c r="F11" i="2"/>
  <c r="G11" s="1"/>
  <c r="AV144" i="5" s="1"/>
  <c r="F13" i="2"/>
  <c r="G13" s="1"/>
  <c r="AV146" i="5" s="1"/>
  <c r="A1" i="4"/>
  <c r="AW11" s="1"/>
  <c r="C50" s="1"/>
  <c r="A1" i="5"/>
  <c r="AW21" s="1"/>
  <c r="C154" s="1"/>
  <c r="D22" i="2"/>
  <c r="AM156" i="5" s="1"/>
  <c r="F12" i="2"/>
  <c r="G12" s="1"/>
  <c r="AV145" i="5" s="1"/>
  <c r="F10" i="2"/>
  <c r="G10" s="1"/>
  <c r="AV143" i="5" s="1"/>
  <c r="AH27" i="9" l="1"/>
  <c r="AU145" i="5"/>
  <c r="B7" i="20" s="1"/>
  <c r="AU144" i="5"/>
  <c r="B6" i="20" s="1"/>
  <c r="AU143" i="5"/>
  <c r="B5" i="20" s="1"/>
  <c r="AU146" i="5"/>
  <c r="B8" i="20" s="1"/>
  <c r="AU141" i="5"/>
  <c r="B3" i="20" s="1"/>
  <c r="AU142" i="5"/>
  <c r="B4" i="20" s="1"/>
  <c r="D24" i="2"/>
  <c r="AM160" i="5" s="1"/>
  <c r="AM171" i="4"/>
  <c r="AM172" s="1"/>
  <c r="AH28" i="9"/>
  <c r="B29" s="1"/>
  <c r="A3"/>
  <c r="B30" s="1"/>
  <c r="D7" i="20" l="1"/>
  <c r="H7"/>
  <c r="D5"/>
  <c r="H5"/>
  <c r="D8"/>
  <c r="H8"/>
  <c r="D6"/>
  <c r="H6"/>
  <c r="D4"/>
  <c r="H4"/>
  <c r="D3"/>
  <c r="H3"/>
  <c r="AJ141" i="5"/>
  <c r="AO141" s="1"/>
  <c r="F3" i="15"/>
  <c r="AJ143" i="5"/>
  <c r="AO143" s="1"/>
  <c r="H3" i="15"/>
  <c r="AJ145" i="5"/>
  <c r="AO145" s="1"/>
  <c r="J3" i="15"/>
  <c r="AJ142" i="5"/>
  <c r="AO142" s="1"/>
  <c r="G3" i="15"/>
  <c r="AJ146" i="5"/>
  <c r="AO146" s="1"/>
  <c r="K3" i="15"/>
  <c r="AJ144" i="5"/>
  <c r="AO144" s="1"/>
  <c r="I3" i="15"/>
  <c r="H9" i="20" l="1"/>
  <c r="D9"/>
  <c r="AU149" i="5"/>
  <c r="M4" i="15"/>
  <c r="Q7" s="1"/>
  <c r="M8"/>
  <c r="Q10" s="1"/>
  <c r="M11"/>
  <c r="Q13" s="1"/>
  <c r="M14"/>
  <c r="Q16" s="1"/>
  <c r="M17"/>
  <c r="Q19" s="1"/>
  <c r="M20"/>
  <c r="Q23" l="1"/>
</calcChain>
</file>

<file path=xl/comments1.xml><?xml version="1.0" encoding="utf-8"?>
<comments xmlns="http://schemas.openxmlformats.org/spreadsheetml/2006/main">
  <authors>
    <author>Bizkvit</author>
    <author>УПСК</author>
    <author>Админ</author>
  </authors>
  <commentList>
    <comment ref="Z5" authorId="0">
      <text>
        <r>
          <rPr>
            <b/>
            <sz val="9"/>
            <color indexed="81"/>
            <rFont val="Tahoma"/>
            <family val="2"/>
            <charset val="204"/>
          </rPr>
          <t>расчет НДС</t>
        </r>
      </text>
    </comment>
    <comment ref="Y7" authorId="1">
      <text>
        <r>
          <rPr>
            <b/>
            <sz val="8"/>
            <color indexed="81"/>
            <rFont val="Tahoma"/>
            <family val="2"/>
            <charset val="204"/>
          </rPr>
          <t>определение кол-ва лестниц: длина
до 12м = 1 лестница
до 30м = 2 лестницы
более 30м = 3 лестницы</t>
        </r>
      </text>
    </comment>
    <comment ref="Y9" authorId="2">
      <text>
        <r>
          <rPr>
            <b/>
            <sz val="8"/>
            <color indexed="81"/>
            <rFont val="Tahoma"/>
            <family val="2"/>
            <charset val="204"/>
          </rPr>
          <t>количество рам для погрузки</t>
        </r>
      </text>
    </comment>
    <comment ref="Q21" authorId="2">
      <text>
        <r>
          <rPr>
            <b/>
            <sz val="8"/>
            <color indexed="81"/>
            <rFont val="Tahoma"/>
            <family val="2"/>
            <charset val="204"/>
          </rPr>
          <t>Корректировка цены за 1м2</t>
        </r>
      </text>
    </comment>
    <comment ref="AL21" authorId="2">
      <text>
        <r>
          <rPr>
            <b/>
            <sz val="8"/>
            <color indexed="81"/>
            <rFont val="Tahoma"/>
            <family val="2"/>
            <charset val="204"/>
          </rPr>
          <t xml:space="preserve">для Диаг
</t>
        </r>
      </text>
    </comment>
    <comment ref="Q22" authorId="2">
      <text>
        <r>
          <rPr>
            <b/>
            <sz val="8"/>
            <color indexed="81"/>
            <rFont val="Tahoma"/>
            <family val="2"/>
            <charset val="204"/>
          </rPr>
          <t>корректировка аренды в сутки</t>
        </r>
      </text>
    </comment>
    <comment ref="AL22" authorId="2">
      <text>
        <r>
          <rPr>
            <b/>
            <sz val="8"/>
            <color indexed="81"/>
            <rFont val="Tahoma"/>
            <family val="2"/>
            <charset val="204"/>
          </rPr>
          <t>Для гориз-й</t>
        </r>
      </text>
    </comment>
    <comment ref="Q23" authorId="2">
      <text>
        <r>
          <rPr>
            <b/>
            <sz val="8"/>
            <color indexed="81"/>
            <rFont val="Tahoma"/>
            <family val="2"/>
            <charset val="204"/>
          </rPr>
          <t>корректировка
Залога</t>
        </r>
      </text>
    </comment>
    <comment ref="Q24" authorId="1">
      <text>
        <r>
          <rPr>
            <b/>
            <sz val="8"/>
            <color indexed="81"/>
            <rFont val="Tahoma"/>
            <family val="2"/>
            <charset val="204"/>
          </rPr>
          <t>Корректировка цены настила</t>
        </r>
      </text>
    </comment>
  </commentList>
</comments>
</file>

<file path=xl/comments2.xml><?xml version="1.0" encoding="utf-8"?>
<comments xmlns="http://schemas.openxmlformats.org/spreadsheetml/2006/main">
  <authors>
    <author>Админ</author>
  </authors>
  <commentList>
    <comment ref="H3" authorId="0">
      <text>
        <r>
          <rPr>
            <b/>
            <sz val="8"/>
            <color indexed="81"/>
            <rFont val="Tahoma"/>
            <family val="2"/>
            <charset val="204"/>
          </rPr>
          <t>реальная цена</t>
        </r>
      </text>
    </comment>
    <comment ref="I3" authorId="0">
      <text>
        <r>
          <rPr>
            <b/>
            <sz val="8"/>
            <color indexed="81"/>
            <rFont val="Tahoma"/>
            <family val="2"/>
            <charset val="204"/>
          </rPr>
          <t xml:space="preserve">надбавка для залога
</t>
        </r>
      </text>
    </comment>
    <comment ref="K3" authorId="0">
      <text>
        <r>
          <rPr>
            <b/>
            <sz val="8"/>
            <color indexed="81"/>
            <rFont val="Tahoma"/>
            <family val="2"/>
            <charset val="204"/>
          </rPr>
          <t>Залог Общий</t>
        </r>
      </text>
    </comment>
    <comment ref="C6" authorId="0">
      <text>
        <r>
          <rPr>
            <b/>
            <sz val="8"/>
            <color indexed="81"/>
            <rFont val="Tahoma"/>
            <family val="2"/>
            <charset val="204"/>
          </rPr>
          <t>ДИСКОНТ</t>
        </r>
      </text>
    </comment>
    <comment ref="S12" authorId="0">
      <text>
        <r>
          <rPr>
            <b/>
            <sz val="8"/>
            <color indexed="81"/>
            <rFont val="Tahoma"/>
            <family val="2"/>
            <charset val="204"/>
          </rPr>
          <t xml:space="preserve">реальная высота
</t>
        </r>
      </text>
    </comment>
    <comment ref="S16" authorId="0">
      <text>
        <r>
          <rPr>
            <b/>
            <sz val="8"/>
            <color indexed="81"/>
            <rFont val="Tahoma"/>
            <family val="2"/>
            <charset val="204"/>
          </rPr>
          <t>стоимоть в сутки за все оборудование (для формулы)</t>
        </r>
      </text>
    </comment>
  </commentList>
</comments>
</file>

<file path=xl/comments3.xml><?xml version="1.0" encoding="utf-8"?>
<comments xmlns="http://schemas.openxmlformats.org/spreadsheetml/2006/main">
  <authors>
    <author>Админ</author>
  </authors>
  <commentList>
    <comment ref="C6" authorId="0">
      <text>
        <r>
          <rPr>
            <b/>
            <sz val="8"/>
            <color indexed="81"/>
            <rFont val="Tahoma"/>
            <family val="2"/>
            <charset val="204"/>
          </rPr>
          <t>по безналу</t>
        </r>
      </text>
    </comment>
    <comment ref="A7" authorId="0">
      <text>
        <r>
          <rPr>
            <b/>
            <sz val="8"/>
            <color indexed="81"/>
            <rFont val="Tahoma"/>
            <family val="2"/>
            <charset val="204"/>
          </rPr>
          <t>исключая перерывы</t>
        </r>
      </text>
    </comment>
  </commentList>
</comments>
</file>

<file path=xl/sharedStrings.xml><?xml version="1.0" encoding="utf-8"?>
<sst xmlns="http://schemas.openxmlformats.org/spreadsheetml/2006/main" count="1257" uniqueCount="682">
  <si>
    <r>
      <rPr>
        <sz val="28"/>
        <color rgb="FF000000"/>
        <rFont val="Calibri"/>
        <family val="2"/>
        <charset val="204"/>
        <scheme val="minor"/>
      </rPr>
      <t xml:space="preserve">УПСК
</t>
    </r>
    <r>
      <rPr>
        <sz val="17"/>
        <color rgb="FF000000"/>
        <rFont val="Calibri"/>
        <family val="2"/>
        <charset val="204"/>
        <scheme val="minor"/>
      </rPr>
      <t>Аренда строительных лесов</t>
    </r>
  </si>
  <si>
    <t>Параметры цен</t>
  </si>
  <si>
    <t>Параметры здания/стены</t>
  </si>
  <si>
    <t>Длина</t>
  </si>
  <si>
    <t>Высота</t>
  </si>
  <si>
    <t>Кол-во метров/ срок аренды</t>
  </si>
  <si>
    <t>До недели</t>
  </si>
  <si>
    <t>До 2-х недель</t>
  </si>
  <si>
    <t>До месяца</t>
  </si>
  <si>
    <t>До 2-х месяцев</t>
  </si>
  <si>
    <t>Св 2 месяцев</t>
  </si>
  <si>
    <t>цена за м2</t>
  </si>
  <si>
    <t>руб</t>
  </si>
  <si>
    <t>длинна</t>
  </si>
  <si>
    <t>высота</t>
  </si>
  <si>
    <t>ПЛОЩАДЬ</t>
  </si>
  <si>
    <t>проверка</t>
  </si>
  <si>
    <t>Доставка=</t>
  </si>
  <si>
    <t>До 50м2</t>
  </si>
  <si>
    <t>ст-ть аренды</t>
  </si>
  <si>
    <t>в сутки</t>
  </si>
  <si>
    <t>Сторона1</t>
  </si>
  <si>
    <t>Погрузка=</t>
  </si>
  <si>
    <t>До 100м2</t>
  </si>
  <si>
    <t>кол-во суток</t>
  </si>
  <si>
    <t>До 300м2</t>
  </si>
  <si>
    <t>1м2 стоит</t>
  </si>
  <si>
    <t>Сторона2</t>
  </si>
  <si>
    <t>До 500м2</t>
  </si>
  <si>
    <t>Договор</t>
  </si>
  <si>
    <t>До 1000м2</t>
  </si>
  <si>
    <t>Наименование</t>
  </si>
  <si>
    <t>Количество</t>
  </si>
  <si>
    <t>Стоимость</t>
  </si>
  <si>
    <t>Сумма, руб.</t>
  </si>
  <si>
    <t>Сторона3</t>
  </si>
  <si>
    <t>Св 1000м2</t>
  </si>
  <si>
    <t>1 Рама проходная ЛСПР-200</t>
  </si>
  <si>
    <t>2 Рама с лестницей ЛСПР-200</t>
  </si>
  <si>
    <t>Сторона4</t>
  </si>
  <si>
    <t>Подмости</t>
  </si>
  <si>
    <t>шт (3м*1м)</t>
  </si>
  <si>
    <t>3 Диагональная связь (3,3 м) ЛСПР-200</t>
  </si>
  <si>
    <t>4 Горизонтальная связь</t>
  </si>
  <si>
    <t xml:space="preserve">Вышка-тура </t>
  </si>
  <si>
    <t>5 Мостки (настил) деревянные</t>
  </si>
  <si>
    <t>Итого площадь</t>
  </si>
  <si>
    <t>м2</t>
  </si>
  <si>
    <t>Общая рыночная стоимость арендуемого оборудования</t>
  </si>
  <si>
    <t>Количество элементов</t>
  </si>
  <si>
    <t>С1</t>
  </si>
  <si>
    <t>С2</t>
  </si>
  <si>
    <t>С3</t>
  </si>
  <si>
    <t>С4</t>
  </si>
  <si>
    <t>Доп связи</t>
  </si>
  <si>
    <t>Стоимость доставки оборудования до объекта Арендатора*</t>
  </si>
  <si>
    <t>всего рам</t>
  </si>
  <si>
    <t>Стоимость вывоза оборудования с объекта Арендатора</t>
  </si>
  <si>
    <t>с лестницей</t>
  </si>
  <si>
    <t>Монтаж и демонтаж оборудования</t>
  </si>
  <si>
    <t>Погрузка и выгрузка оборудования</t>
  </si>
  <si>
    <t>диаг связи</t>
  </si>
  <si>
    <t>Настил</t>
  </si>
  <si>
    <t>кол-во</t>
  </si>
  <si>
    <t>цена/д</t>
  </si>
  <si>
    <t>Итого</t>
  </si>
  <si>
    <t>Итого:</t>
  </si>
  <si>
    <t>в т.ч. Залог</t>
  </si>
  <si>
    <t>1 настил=</t>
  </si>
  <si>
    <t>2 ригеля + 3 щита</t>
  </si>
  <si>
    <t>6 Ригель для настила</t>
  </si>
  <si>
    <t>Юр</t>
  </si>
  <si>
    <t>Физ</t>
  </si>
  <si>
    <t>%</t>
  </si>
  <si>
    <t>НДС</t>
  </si>
  <si>
    <t>без НДС</t>
  </si>
  <si>
    <t>Залог</t>
  </si>
  <si>
    <t>До 45дн</t>
  </si>
  <si>
    <r>
      <rPr>
        <sz val="28"/>
        <color rgb="FF000000"/>
        <rFont val="Calibri"/>
        <family val="2"/>
        <charset val="204"/>
        <scheme val="minor"/>
      </rPr>
      <t xml:space="preserve">УПСК
</t>
    </r>
    <r>
      <rPr>
        <sz val="17"/>
        <color rgb="FF000000"/>
        <rFont val="Calibri"/>
        <family val="2"/>
        <charset val="204"/>
        <scheme val="minor"/>
      </rPr>
      <t>Аренда вышек тур</t>
    </r>
  </si>
  <si>
    <t>Кол-во дней</t>
  </si>
  <si>
    <t>Рабочая площадка 2000 х1200 мм</t>
  </si>
  <si>
    <t>ПСРВ – 21</t>
  </si>
  <si>
    <t>Высота полная, м</t>
  </si>
  <si>
    <t>Высота до настила, м</t>
  </si>
  <si>
    <t>Достигаемая высота, м</t>
  </si>
  <si>
    <t>Масса, кг</t>
  </si>
  <si>
    <t>Цена, руб.</t>
  </si>
  <si>
    <t>Доставка</t>
  </si>
  <si>
    <t>Расчет залога</t>
  </si>
  <si>
    <t xml:space="preserve">на аренду строительных лесов </t>
  </si>
  <si>
    <t>№ договора</t>
  </si>
  <si>
    <t>Дата</t>
  </si>
  <si>
    <t>г. Екатеринбург</t>
  </si>
  <si>
    <t>ФИО</t>
  </si>
  <si>
    <t>Город</t>
  </si>
  <si>
    <t>Улица</t>
  </si>
  <si>
    <t xml:space="preserve">Паспорт </t>
  </si>
  <si>
    <t>выдан когда</t>
  </si>
  <si>
    <t>выдан кем</t>
  </si>
  <si>
    <t>1. ПРЕДМЕТ ДОГОВОРА</t>
  </si>
  <si>
    <t>1.2. Оборудование будет использоваться по прямому назначению.</t>
  </si>
  <si>
    <t>2. ОБЯЗАННОСТИ СТОРОН</t>
  </si>
  <si>
    <t>3. РАСЧЕТЫ</t>
  </si>
  <si>
    <t>3.1. Арендная плата по настоящему договору составляет:</t>
  </si>
  <si>
    <t>сумма в сутки</t>
  </si>
  <si>
    <t>4. ОТВЕТСТВЕННОСТЬ СТОРОН</t>
  </si>
  <si>
    <t>5. ФОРС-МАЖОР</t>
  </si>
  <si>
    <t>6. ПОРЯДОК РАЗРЕШЕНИЯ СПОРОВ</t>
  </si>
  <si>
    <t>7. КОНФИДЕНЦИАЛЬНОСТЬ</t>
  </si>
  <si>
    <t>8. ПОРЯДОК ИЗМЕНЕНИЯ И ДОПОЛНЕНИЯ ДОГОВОРА</t>
  </si>
  <si>
    <t>9. ЗАКЛЮЧИТЕЛЬНЫЕ ПОЛОЖЕНИЯ</t>
  </si>
  <si>
    <t>10. ЮРИДИЧЕСКИЕ АДРЕСА И ПЛАТЕЖНЫЕ РЕКВИЗИТЫ СТОРОН</t>
  </si>
  <si>
    <t>Арендодатель:</t>
  </si>
  <si>
    <t>Арендатор:</t>
  </si>
  <si>
    <t>конт телефон</t>
  </si>
  <si>
    <t>ПОДПИСИ СТОРОН:</t>
  </si>
  <si>
    <t>Арендодатель</t>
  </si>
  <si>
    <t>Арендатор</t>
  </si>
  <si>
    <t>М.П.</t>
  </si>
  <si>
    <t>Акт</t>
  </si>
  <si>
    <t>приема-передачи оборудования в аренду</t>
  </si>
  <si>
    <t>№ п/п</t>
  </si>
  <si>
    <t>Стоимость
руб. за ед.</t>
  </si>
  <si>
    <t>Количество,
шт.</t>
  </si>
  <si>
    <t>Рама проходная ЛСПР-200</t>
  </si>
  <si>
    <t xml:space="preserve">Рама с лестницей ЛСПР-200 </t>
  </si>
  <si>
    <t>Диагональная связь (3,3 м) ЛСПР-200</t>
  </si>
  <si>
    <t>Горизонтальная связь</t>
  </si>
  <si>
    <t>Мостки (настил) деревянные</t>
  </si>
  <si>
    <t>Рама для настила</t>
  </si>
  <si>
    <t>Общая рыночная стоимость
арендуемого оборудования</t>
  </si>
  <si>
    <t>Адрес доставки</t>
  </si>
  <si>
    <t>ИТОГО к оплате</t>
  </si>
  <si>
    <t>Подписи сторон</t>
  </si>
  <si>
    <r>
      <t>Арендатор</t>
    </r>
    <r>
      <rPr>
        <sz val="12"/>
        <color rgb="FF000000"/>
        <rFont val="Times New Roman"/>
        <family val="1"/>
        <charset val="204"/>
      </rPr>
      <t>_________________________</t>
    </r>
  </si>
  <si>
    <t>Оборудование (строительные леса) возвращены в полном объеме, претензий не имею</t>
  </si>
  <si>
    <t>_______________________________________________________.</t>
  </si>
  <si>
    <t>Простой транспортного средства оплачивается из тарифа 250 рублей в час.</t>
  </si>
  <si>
    <t>Срок аренды</t>
  </si>
  <si>
    <t>Вспомогательные значения</t>
  </si>
  <si>
    <t>СУММА ПРОПИСЬЮ</t>
  </si>
  <si>
    <t>Константы:</t>
  </si>
  <si>
    <t>Случайные числа:</t>
  </si>
  <si>
    <t>Формула РУС:</t>
  </si>
  <si>
    <t>=ПОДСТАВИТЬ(ПРОПНАЧ(ИНДЕКС(n_4;ПСТР(ТЕКСТ(A1;n0);1;1)+1)&amp;ИНДЕКС(n0x;ПСТР(ТЕКСТ(A1;n0);2;1)+1;ПСТР(ТЕКСТ(A1;n0);3;1)+1)&amp;ЕСЛИ(-ПСТР(ТЕКСТ(A1;n0);1;3);"миллиард"&amp;ВПР(ПСТР(ТЕКСТ(A1;n0);3;1)*И(ПСТР(ТЕКСТ(A1;n0);2;1)-1);мил;2);"")&amp;ИНДЕКС(n_4;ПСТР(ТЕКСТ(A1;n0);4;1)+1)&amp;ИНДЕКС(n0x;ПСТР(ТЕКСТ(A1;n0);5;1)+1;ПСТР(ТЕКСТ(A1;n0);6;1)+1)&amp;ЕСЛИ(-ПСТР(ТЕКСТ(A1;n0);4;3);"миллион"&amp;ВПР(ПСТР(ТЕКСТ(A1;n0);6;1)*И(ПСТР(ТЕКСТ(A1;n0);5;1)-1);мил;2);"")&amp;ИНДЕКС(n_4;ПСТР(ТЕКСТ(A1;n0);7;1)+1)&amp;ИНДЕКС(n1x;ПСТР(ТЕКСТ(A1;n0);8;1)+1;ПСТР(ТЕКСТ(A1;n0);9;1)+1)&amp;ЕСЛИ(-ПСТР(ТЕКСТ(A1;n0);7;3);ВПР(ПСТР(ТЕКСТ(A1;n0);9;1)*И(ПСТР(ТЕКСТ(A1;n0);8;1)-1);тыс;2);"")&amp;ИНДЕКС(n_4;ПСТР(ТЕКСТ(A1;n0);10;1)+1)&amp;ИНДЕКС(n0x;ПСТР(ТЕКСТ(A1;n0);11;1)+1;ПСТР(ТЕКСТ(A1;n0);12;1)+1));"z";" ")&amp;ЕСЛИ(ОТБР(ТЕКСТ(A1;n0));"";"Ноль ")&amp;"рубл"&amp;ВПР(ОСТАТ(МАКС(ОСТАТ(ПСТР(ТЕКСТ(A1;n0);11;2)-11;100);9);10);{0;"ь ":1;"я ":4;"ей "};2)&amp;ПРАВСИМВ(ТЕКСТ(A1;n0);2)&amp;" копе"&amp;ВПР(ОСТАТ(МАКС(ОСТАТ(ПРАВСИМВ(ТЕКСТ(A1;n0);2)-11;100);9);10);{0;"йка":1;"йки":4;"ек"};2)</t>
  </si>
  <si>
    <t>Длина:</t>
  </si>
  <si>
    <t>Формула ENG:</t>
  </si>
  <si>
    <t>=SUBSTITUTE(PROPER(INDEX(n_4,MID(TEXT(A1,n0),1,1)+1)&amp;INDEX(n0x,MID(TEXT(A1,n0),2,1)+1,MID(TEXT(A1,n0),3,1)+1)&amp;IF(-MID(TEXT(A1,n0),1,3),"миллиард"&amp;VLOOKUP(MID(TEXT(A1,n0),3,1)*AND(MID(TEXT(A1,n0),2,1)-1),мил,2),"")&amp;INDEX(n_4,MID(TEXT(A1,n0),4,1)+1)&amp;INDEX(n0x,MID(TEXT(A1,n0),5,1)+1,MID(TEXT(A1,n0),6,1)+1)&amp;IF(-MID(TEXT(A1,n0),4,3),"миллион"&amp;VLOOKUP(MID(TEXT(A1,n0),6,1)*AND(MID(TEXT(A1,n0),5,1)-1),мил,2),"")&amp;INDEX(n_4,MID(TEXT(A1,n0),7,1)+1)&amp;INDEX(n1x,MID(TEXT(A1,n0),8,1)+1,MID(TEXT(A1,n0),9,1)+1)&amp;IF(-MID(TEXT(A1,n0),7,3),VLOOKUP(MID(TEXT(A1,n0),9,1)*AND(MID(TEXT(A1,n0),8,1)-1),тыс,2),"")&amp;INDEX(n_4,MID(TEXT(A1,n0),10,1)+1)&amp;INDEX(n0x,MID(TEXT(A1,n0),11,1)+1,MID(TEXT(A1,n0),12,1)+1)),"z"," ")&amp;IF(TRUNC(TEXT(A1,n0)),"","Ноль ")&amp;"рубл"&amp;VLOOKUP(MOD(MAX(MOD(MID(TEXT(A1,n0),11,2)-11,100),9),10),{0,"ь ";1,"я ";4,"ей "},2)&amp;RIGHT(TEXT(A1,n0),2)&amp;" копе"&amp;VLOOKUP(MOD(MAX(MOD(RIGHT(TEXT(A1,n0),2)-11,100),9),10),{0,"йка";1,"йки";4,"ек"},2)</t>
  </si>
  <si>
    <t>Имена:</t>
  </si>
  <si>
    <t>n_1</t>
  </si>
  <si>
    <t>={"";"одинz";"дваz";"триz";"четыреz";"пятьz";"шестьz";"семьz";"восемьz";"девятьz"}</t>
  </si>
  <si>
    <t>n_2</t>
  </si>
  <si>
    <t>={"десятьz";"одиннадцатьz";"двенадцатьz";"тринадцатьz";"четырнадцатьz";"пятнадцатьz";"шестнадцатьz";"семнадцатьz";"восемнадцатьz";"девятнадцатьz"}</t>
  </si>
  <si>
    <t>n_3</t>
  </si>
  <si>
    <t>={"":1:"двадцатьz":"тридцатьz":"сорокz":"пятьдесятz":"шестьдесятz":"семьдесятz":"восемьдесятz":"девяностоz"}</t>
  </si>
  <si>
    <t>n_4</t>
  </si>
  <si>
    <t>={"";"стоz";"двестиz";"тристаz";"четырестаz";"пятьсотz";"шестьсотz";"семьсотz";"восемьсотz";"девятьсотz"}</t>
  </si>
  <si>
    <t>n_5</t>
  </si>
  <si>
    <t>={"";"однаz";"двеz";"триz";"четыреz";"пятьz";"шестьz";"семьz";"восемьz";"девятьz"}</t>
  </si>
  <si>
    <t>n0</t>
  </si>
  <si>
    <t>="000000000000"&amp;ПСТР(1/2;2;1)&amp;"00"</t>
  </si>
  <si>
    <t>n0x</t>
  </si>
  <si>
    <t>=ЕСЛИ(n_3=1;n_2;n_3&amp;n_1)</t>
  </si>
  <si>
    <t>n1x</t>
  </si>
  <si>
    <t>=ЕСЛИ(n_3=1;n_2;n_3&amp;n_5)</t>
  </si>
  <si>
    <t>мил</t>
  </si>
  <si>
    <t>={0;"овz":1;"z":2;"аz":5;"овz"}</t>
  </si>
  <si>
    <t>тыс</t>
  </si>
  <si>
    <t>={0;"тысячz":1;"тысячаz":2;"тысячиz":5;"тысячz"}</t>
  </si>
  <si>
    <t>Внимание! Оплата данного счета означает согласие с условиями поставки товара. Уведомление об оплате 
 обязательно, в противном случае не гарантируется наличие товара на складе. Товар отпускается по факту
 прихода денег на р/с Поставщика, самовывозом, при наличии доверенности и паспорта.</t>
  </si>
  <si>
    <t>БИК</t>
  </si>
  <si>
    <t>Сч. №</t>
  </si>
  <si>
    <t>Банк получателя</t>
  </si>
  <si>
    <t>ИНН</t>
  </si>
  <si>
    <t xml:space="preserve">КПП  </t>
  </si>
  <si>
    <t>ООО"УПСК"</t>
  </si>
  <si>
    <t>Получатель</t>
  </si>
  <si>
    <t>Поставщик:</t>
  </si>
  <si>
    <t>Покупатель:</t>
  </si>
  <si>
    <t>№</t>
  </si>
  <si>
    <t>Товары (работы, услуги)</t>
  </si>
  <si>
    <t>Кол-во</t>
  </si>
  <si>
    <t>Ед.</t>
  </si>
  <si>
    <t>Цена</t>
  </si>
  <si>
    <t>Сумма</t>
  </si>
  <si>
    <t>сутки</t>
  </si>
  <si>
    <t>Залоговая стоимость оборудования</t>
  </si>
  <si>
    <t>шт</t>
  </si>
  <si>
    <t>Всего к оплате:</t>
  </si>
  <si>
    <t>Руководитель</t>
  </si>
  <si>
    <t>Бухгалтер</t>
  </si>
  <si>
    <t>заключенному между Арендодателем и Арендатором, настоящим актом приема-передачи подтверждают факт передачи Арендодателем оборудования (строительных лесов), в исправном состоянии(согласно технического паспорта) и технически пригодном для выполнения строительных работ, Арендатору в следующей комплектности:</t>
  </si>
  <si>
    <t>Примечание: * стоимость транспортных услуг принимаются из учета минимального тарифа транспортного средства.</t>
  </si>
  <si>
    <t>1.3. Оборудование передается в состоянии, пригодном для его использования в соответствии с пунктом 1.2. настоящего договора.</t>
  </si>
  <si>
    <t>вес</t>
  </si>
  <si>
    <t>Гражданин(ка)</t>
  </si>
  <si>
    <t>Боровая, д. 24, кв. 163, паспорт серия 6505 N 554016 выдан "29" июля 2005г. ОВД г Краснотурьинска Свердловской области, именуемый в дальнейшем "Арендодатель", с одной стороны, и</t>
  </si>
  <si>
    <r>
      <t xml:space="preserve">Гражданин </t>
    </r>
    <r>
      <rPr>
        <i/>
        <u/>
        <sz val="12"/>
        <color rgb="FF000000"/>
        <rFont val="Times New Roman"/>
        <family val="1"/>
        <charset val="204"/>
      </rPr>
      <t>Выборных Андрей Павлович</t>
    </r>
    <r>
      <rPr>
        <sz val="12"/>
        <color rgb="FF000000"/>
        <rFont val="Times New Roman"/>
        <family val="1"/>
        <charset val="204"/>
      </rPr>
      <t xml:space="preserve">, проживающий по адресу: </t>
    </r>
    <r>
      <rPr>
        <i/>
        <u/>
        <sz val="12"/>
        <color rgb="FF000000"/>
        <rFont val="Times New Roman"/>
        <family val="1"/>
        <charset val="204"/>
      </rPr>
      <t xml:space="preserve">г. Екатеринбург, ул. </t>
    </r>
  </si>
  <si>
    <t>____________________________</t>
  </si>
  <si>
    <t>______________________</t>
  </si>
  <si>
    <t>______________</t>
  </si>
  <si>
    <t>Выборных Андрей Павлович, паспорт серия 6505 N 554016 выдан "29" июля 2005г. ОВД г Краснотурьинска Свердловской области, конт. тел. 8(343)206-88-82</t>
  </si>
  <si>
    <t>___________________________</t>
  </si>
  <si>
    <t>_________________________________________________________</t>
  </si>
  <si>
    <t>______________________________</t>
  </si>
  <si>
    <r>
      <t>Арендодатель</t>
    </r>
    <r>
      <rPr>
        <sz val="12"/>
        <color rgb="FF000000"/>
        <rFont val="Times New Roman"/>
        <family val="1"/>
        <charset val="204"/>
      </rPr>
      <t>______________________Выборных А.П.</t>
    </r>
  </si>
  <si>
    <t>на аренду вышки туры</t>
  </si>
  <si>
    <t>Стоимость залога за оборудование
составляет 50 % от общей рыночной
стоимости</t>
  </si>
  <si>
    <t>ст-ть аренды за весь период</t>
  </si>
  <si>
    <t>Организация</t>
  </si>
  <si>
    <t>3.2. Оплата производится по безналичному расчету, либо другими способами удовлетворяющими обе стороны путем выдачи Арендодателю раз в две недели суммы (за 14 дней), определенной пунктом 3.1. договора на основании расписки между сторонами.
3.3 Залог Арендатору возвращается в полном объеме после возврата оборудования  Арендодателю в исправном состоянии.</t>
  </si>
  <si>
    <t>4.1. Стороны несут имущественную ответственность за неисполнение или ненадлежащее исполнение условий Договора.
4.2. За каждый день просрочки выплаты арендной платы начисляется пеня в размере 5% от суммы задолженности.
4.3. В случае просрочки внесения арендной платы свыше одного месяца Арендодатель имеет право расторгнуть Договор и потребовать возмещения убытков, причиненных этой просрочкой.
4.4. За просрочку предоставления арендуемого имущества в установленный договором срок Арендодатель уплачивает Арендатору пени в размере 50 % за каждый день просрочки от суммы арендной платы за день.
4.5. За просрочку возврата арендованного имущества в установленный договором срок Арендатор уплачивает Арендодателю пени в размере 50% за каждый день просрочки от суммы арендной платы за день.
4.6. При возврате неисправного арендованного имущества, поврежденного по вине Арендатора, что подтверждается двусторонним актом, последний уплачивает Арендодателю расходы по ремонту их и штраф в размере 100% стоимости поврежденного арендованного имущества.
4.7. Уплата неустойки не освобождает стороны от исполнения обязательств или устранения нарушений.
4.8. Арендодатель не несет ответственность за несчастные случаи допущенные вследствие нарушении техники безопасности.</t>
  </si>
  <si>
    <t>6.1. Все споры или разногласия, возникающие между сторонами по настоящему Договору или в связи с ним, разрешаются путем переговоров между сторонами.
6.2. В случае невозможности разрешения разногласий путем переговоров они подлежат рассмотрению в суде общей юрисдикции в установленном законодательством порядке.</t>
  </si>
  <si>
    <t>5.1. Ни одна из сторон не несет ответственности перед другой стороной за невыполнение обязательств, обусловленное обстоятельствами, возникшими помимо воли и желания сторон и которые нельзя предвидеть или избежать, включая объявленную или фактическую войну, гражданские волнения, эпидемии, блокаду, эмбарго, землетрясения, наводнения, пожары и другие стихийные бедствия.
5.2. Сторона, которая не может исполнить своего обязательства, должна известить другую сторону о препятствии и его влиянии на исполнение обязательств по Договору в разумный срок с момента возникновения этих обстоятельств.
5.3. Дальнейшая судьба настоящего договора в таких случаях должна быть определена соглашением сторон. При не достижении согласия стороны вправе обратиться в суд для решения этого вопроса.</t>
  </si>
  <si>
    <t>7.1. Условия настоящего договора и соглашений (протоколов и т.п.) к нему конфиденциальны и не подлежат разглашению.
7.2. Стороны принимают все необходимые меры для того, чтобы их сотрудники, агенты, правопреемники без предварительного согласия другой стороны не информировали третьих лиц о деталях данного договора и приложений к нему.</t>
  </si>
  <si>
    <t>9.1. Срок действия настоящего договора: до 31.12.2016.
9.2. Настоящий Договор составлен в двух экземплярах, имеющих одинаковую юридическую силу, по одному экземпляру для каждой из сторон.
9.3. Во всем остальном стороны будут руководствоваться действующим законодательством РФ.</t>
  </si>
  <si>
    <t>Юр.Адрес</t>
  </si>
  <si>
    <t>КПП</t>
  </si>
  <si>
    <t>р/счет</t>
  </si>
  <si>
    <t>в банке</t>
  </si>
  <si>
    <t>кор/счет</t>
  </si>
  <si>
    <t>ОГРН</t>
  </si>
  <si>
    <t>№ СЧЕТА</t>
  </si>
  <si>
    <t>Всего наименований</t>
  </si>
  <si>
    <t>длина</t>
  </si>
  <si>
    <t>1.1. Арендодатель обязуется предоставить во временное владение и пользование Арендатору строительные леса согласно Акту приема-передачи (приложение №1") настоящего договора), именуемые в дальнейшем «оборудование».</t>
  </si>
  <si>
    <t>цена за 1м2</t>
  </si>
  <si>
    <t>аренда в сутки</t>
  </si>
  <si>
    <t>руб.</t>
  </si>
  <si>
    <t>8.1. Любые изменения и дополнения к настоящему Договору имеют силу только в том случае, если они оформлены в письменном виде и подписаны обеими сторонами.
8.2. Досрочное расторжение Договора может иметь место по соглашению сторон либо по основаниям, предусмотренным действующим на территории Российской Федерации гражданским законодательством, с возмещением понесенных убытков.</t>
  </si>
  <si>
    <t>Рын стоимость</t>
  </si>
  <si>
    <t>Диагонали</t>
  </si>
  <si>
    <t>В каждую</t>
  </si>
  <si>
    <t>В шахматном</t>
  </si>
  <si>
    <t>своё знач.</t>
  </si>
  <si>
    <t>=</t>
  </si>
  <si>
    <t>секций/гор.</t>
  </si>
  <si>
    <t>Стоимость всего</t>
  </si>
  <si>
    <t>Комплектующие</t>
  </si>
  <si>
    <t>коэф</t>
  </si>
  <si>
    <t>Общее количество элементов</t>
  </si>
  <si>
    <t>База в сборе (2420мм)</t>
  </si>
  <si>
    <t>Лестница секции (1160мм х 1214мм)</t>
  </si>
  <si>
    <t>Диагональ объемная (2305мм)</t>
  </si>
  <si>
    <t>Гантель (1975мм)</t>
  </si>
  <si>
    <t>Стяжка лестницы (840мм)</t>
  </si>
  <si>
    <t>Стабилизатор в сборе (2400мм)</t>
  </si>
  <si>
    <t>Лестница ограждения (1160мм х 1214мм)</t>
  </si>
  <si>
    <t>Гантель ограждения (1965мм)</t>
  </si>
  <si>
    <t>Перекладина ограждения (1990мм)</t>
  </si>
  <si>
    <t>Настил без люка (1995мм х 525мм)</t>
  </si>
  <si>
    <t>Настил с люком (1995мм х 525мм)</t>
  </si>
  <si>
    <t>№п.п</t>
  </si>
  <si>
    <t>Наименование элемента</t>
  </si>
  <si>
    <t>№карты Сбербанка 5469 1600 1322 4162</t>
  </si>
  <si>
    <t>Надбавка/(дисконт)</t>
  </si>
  <si>
    <t>2.1. Арендодатель обязан:
2.1.1. Передать Арендатору арендованное имущество(вышка тура ПСРВ-21 высотой 8,69м - 1 штука) в состоянии, отвечающем условиям Договора, в течение двух календарных дней с момента подписания договора и получения аванса.
2.1.2. Оказывать консультативную и иную помощь в целях наиболее эффективного использования арендованного имущества.
2.1.3. Обязан осуществить все иные действия, необходимые для исполнения данного договора, предусмотренные законодательством, настоящим договором и дополнениями к нему.
2.2. Арендатор обязан:
2.2.1. Использовать имущество в соответствии с условиями Договора и назначением имущества.
2.2.2. Поддерживать имущество в исправном состоянии, производить за свой счет текущий ремонт.
2.2.3. Нести иные расходы по содержанию имущества.
2.2.4. В установленные Договором сроки вносить арендную плату.
2.2.5. Возвратить имущество Арендодателю после прекращения Договора по Акту приема-передачи в том состоянии, в каком оно было передано, с учетом нормального износа.
2.2.6. Производить ежедневную проверку исправности имущества.
2.2.7. Провести инструктаж по технике безопасности при работе с имуществом.
2.2.8. Письменно уведомить Арендодателя при смене местонахождения оборудования. 
2.2.9. Исполнитель обязан осуществить все иные действия, необходимые для исполнения данного договора, предусмотренные законодательством, настоящим договором и дополнениями к нему.</t>
  </si>
  <si>
    <t>__________________________________</t>
  </si>
  <si>
    <t>______________________________________</t>
  </si>
  <si>
    <t>_____________</t>
  </si>
  <si>
    <t>_________________________________________________</t>
  </si>
  <si>
    <t>3.2. Оплата производится по безналичному расчету, либо другими способами удовлетворяющими обе стороны путем выдачи Арендодателю раз в две недели суммы (за 14 дней), определенной пунктом 3.1. договора.
3.3 Залог Арендатору возвращается в полном объеме после возврата оборудования  Арендодателю в исправном состоянии.</t>
  </si>
  <si>
    <t>2.1. Арендодатель обязан:
2.1.1. Передать Арендатору арендованное имущество в состоянии, отвечающем условиям Договора, в течение трех рабочих дней с момента подписания договора и получения аванса.
2.1.2. Оказывать консультативную и иную помощь в целях наиболее эффективного использования арендованного имущества.
2.1.3. Обязан осуществить все иные действия, необходимые для исполнения данного договора, предусмотренные законодательством, настоящим договором и дополнениями к нему.
2.2. Арендатор обязан:
2.2.1. Использовать имущество в соответствии с условиями Договора и назначением имущества.
2.2.2. Поддерживать имущество в исправном состоянии, производить за свой счет текущий ремонт.
2.2.3. Нести иные расходы по содержанию имущества.
2.2.4. В установленные Договором сроки вносить арендную плату.
2.2.5. Возвратить имущество Арендодателю после прекращения Договора по Акту приема-передачи в том состоянии, в каком оно было передано, с учетом нормального износа.
2.2.6. Производить ежедневную проверку исправности имущества.
2.2.7. Провести инструктаж по технике безопасности при работе с имуществом.
2.2.8. Письменно уведомить Арендодателя при смене местонахождения оборудования. 
2.2.9. Исполнитель обязан осуществить все иные действия, необходимые для исполнения данного договора, предусмотренные законодательством, настоящим договором и дополнениями к нему.</t>
  </si>
  <si>
    <t>Почт адрес</t>
  </si>
  <si>
    <t>___________________</t>
  </si>
  <si>
    <t>14/06-А(16)</t>
  </si>
  <si>
    <t>"14" июня 2016 г.</t>
  </si>
  <si>
    <t>_______________________________________________________________</t>
  </si>
  <si>
    <t>проживающий по адресу:_________________________________________________________</t>
  </si>
  <si>
    <t>паспорт серия/номер__________________</t>
  </si>
  <si>
    <t>выдан _____________________________________</t>
  </si>
  <si>
    <r>
      <t>именуемый в дальнейшем "</t>
    </r>
    <r>
      <rPr>
        <b/>
        <sz val="12"/>
        <color rgb="FF000000"/>
        <rFont val="Times New Roman"/>
        <family val="1"/>
        <charset val="204"/>
      </rPr>
      <t>Арендатор</t>
    </r>
    <r>
      <rPr>
        <sz val="12"/>
        <color rgb="FF000000"/>
        <rFont val="Times New Roman"/>
        <family val="1"/>
        <charset val="204"/>
      </rPr>
      <t xml:space="preserve">", с другой стороны, заключили настоящий Договор </t>
    </r>
  </si>
  <si>
    <t>о нижеследующем:</t>
  </si>
  <si>
    <t>______________________________________________________________________________</t>
  </si>
  <si>
    <t>Оборудование (вышка тура) возвращены в полном объеме, претензий не имею</t>
  </si>
  <si>
    <t>27/06-А(16)</t>
  </si>
  <si>
    <t>"27" июня 2016 г.</t>
  </si>
  <si>
    <t>конт. тел.________________</t>
  </si>
  <si>
    <t>до 6,29м</t>
  </si>
  <si>
    <t>до 9,89м</t>
  </si>
  <si>
    <t>св 9,89м</t>
  </si>
  <si>
    <t>До 4-х
дней</t>
  </si>
  <si>
    <t>Высота
(полная)</t>
  </si>
  <si>
    <t>Кол-во вышек</t>
  </si>
  <si>
    <t>Выборных А.П.</t>
  </si>
  <si>
    <t>Важно! Перед оплатой счета необходимо связаться с менеджером для уточнения наличия</t>
  </si>
  <si>
    <t>продукции на складе.</t>
  </si>
  <si>
    <t>Цена за элемент</t>
  </si>
  <si>
    <t>Приложение №2 к договору №______________</t>
  </si>
  <si>
    <t>от _____________</t>
  </si>
  <si>
    <t xml:space="preserve">Залог </t>
  </si>
  <si>
    <t>100 руб за 1 м2</t>
  </si>
  <si>
    <t>Доставки</t>
  </si>
  <si>
    <t>По городу</t>
  </si>
  <si>
    <t>Новая Россоха</t>
  </si>
  <si>
    <t>Первоуральск</t>
  </si>
  <si>
    <t>Карасеозерск1</t>
  </si>
  <si>
    <t>Верхнее Дуброво</t>
  </si>
  <si>
    <t>Мезенское</t>
  </si>
  <si>
    <t>Клевер</t>
  </si>
  <si>
    <t>Н Тура</t>
  </si>
  <si>
    <t>Горный Щит</t>
  </si>
  <si>
    <t>Исток</t>
  </si>
  <si>
    <t>Мельница</t>
  </si>
  <si>
    <t>Малые Брусяны</t>
  </si>
  <si>
    <t>Косулино</t>
  </si>
  <si>
    <t>Староуткинск</t>
  </si>
  <si>
    <t>Балтым</t>
  </si>
  <si>
    <t>Верхняя Пышма</t>
  </si>
  <si>
    <t>Гагарский пос.</t>
  </si>
  <si>
    <t>Палкино дер.</t>
  </si>
  <si>
    <t>Лукоморье КП</t>
  </si>
  <si>
    <t>Кузино пос.</t>
  </si>
  <si>
    <t xml:space="preserve">Березовский </t>
  </si>
  <si>
    <t>Каменск-Уральский</t>
  </si>
  <si>
    <t>Курганово</t>
  </si>
  <si>
    <t>Первомайский пос.</t>
  </si>
  <si>
    <t>Сысерть</t>
  </si>
  <si>
    <t>день</t>
  </si>
  <si>
    <t>месяц</t>
  </si>
  <si>
    <t>Кирпичный</t>
  </si>
  <si>
    <t>046577674</t>
  </si>
  <si>
    <t>30101810500000000674</t>
  </si>
  <si>
    <t xml:space="preserve">Кашино </t>
  </si>
  <si>
    <t>Диагональ</t>
  </si>
  <si>
    <t>Горизонталь</t>
  </si>
  <si>
    <t>Стоимость смены</t>
  </si>
  <si>
    <t>Кол-во часов в смене</t>
  </si>
  <si>
    <t>Стоимость ремонта</t>
  </si>
  <si>
    <t>Диагоналей</t>
  </si>
  <si>
    <t>Горизонталей</t>
  </si>
  <si>
    <t>Рам</t>
  </si>
  <si>
    <t>Стоимость ремонта 1 шт</t>
  </si>
  <si>
    <t>Горизонтали</t>
  </si>
  <si>
    <t>Кол-во рем в смену</t>
  </si>
  <si>
    <t>Бисерть</t>
  </si>
  <si>
    <t>Расстояние</t>
  </si>
  <si>
    <t>км</t>
  </si>
  <si>
    <t>Цена за км</t>
  </si>
  <si>
    <t>нал</t>
  </si>
  <si>
    <t>безнал</t>
  </si>
  <si>
    <t>Ригель для настила</t>
  </si>
  <si>
    <t>год</t>
  </si>
  <si>
    <t>Испр. От 31.01.2017</t>
  </si>
  <si>
    <t>До 3-х дней</t>
  </si>
  <si>
    <t>до 3х дней</t>
  </si>
  <si>
    <t>Арамиль</t>
  </si>
  <si>
    <t>желаемая
цена</t>
  </si>
  <si>
    <t>Аренда</t>
  </si>
  <si>
    <t>Объем</t>
  </si>
  <si>
    <t>1.2. Арендуемое имущество передается Арендатору для осуществления предпринимательской деятельности.</t>
  </si>
  <si>
    <t>1.3. Срок аренды оборудования согласовывается сторонами в Спецификации (Приложение №1 к настоящему Договору).</t>
  </si>
  <si>
    <t>2. ПОРЯДОК ПЕРЕДАЧИ, ТРАНСПОРТИРОВКИ И ВОЗВРАТА АРЕНДУЕМОГО ИМУЩЕСТВА</t>
  </si>
  <si>
    <t xml:space="preserve">3. ПРАВА И ОБЯЗАННОСТИ СТОРОН </t>
  </si>
  <si>
    <t xml:space="preserve">3.1. Арендодатель обязуется: 
3.1.1. Передать Арендатору арендуемое имущество в порядке и сроки, предусмотренные настоящим Договором.
</t>
  </si>
  <si>
    <t xml:space="preserve">3.1.2. По истечении срока аренды принять арендуемое имущество от Арендатора по акту приема-передачи. 
3.2. Арендодатель имеет право:
</t>
  </si>
  <si>
    <t xml:space="preserve">3.2.1. Осуществлять проверки арендованного имущества в период срока действия настоящего Договора на объекте Арендатора. 
</t>
  </si>
  <si>
    <t>3.2.2. В одностороннем порядке составлять акт о повреждениях, фиксирующий повреждения и/или отсутствие части арендованного имущества, в случае отказа от его составления со стороны Арендатора.</t>
  </si>
  <si>
    <t>3.2.3. Предъявлять требования Арендатору о возмещении ущерба в связи с повреждением и (или) не возвратом арендованного имущества.</t>
  </si>
  <si>
    <t xml:space="preserve">3.2.4. В одностороннем порядке расторгнуть договор досрочно, в случае нарушения Арендатором условий договора. 
3.3. Арендатор обязуется:
</t>
  </si>
  <si>
    <t>3.3.1.  Присутствовать при передаче Оборудования в аренду и возврате Оборудования из аренды, или назначить своего представителя с доверенностью, а также несущего ответственность за сохранность и правильную эксплуатацию «Оборудования».</t>
  </si>
  <si>
    <t xml:space="preserve">2.7. Оборудование должно быть возвращено Арендодателю в том состоянии и комплектности, в котором было передано Арендатору. 
</t>
  </si>
  <si>
    <t>2.8. Возврат Оборудования не освобождает Арендатора от исполнения обязательств по оплате всех платежей в соответствии с условиями Договора.</t>
  </si>
  <si>
    <t>2.6. При наступлении обстоятельств по п.2.5. Арендатор обязан возместить все расходы, понесенные Арендодателем связанные с организацией приемки-передачи Оборудования (погрузочно-разгрузочные работы, транспортные расходы).</t>
  </si>
  <si>
    <t>2.5.3. Отсутствия у представителя документа, удостоверяющего его личность и указанного в доверенности.</t>
  </si>
  <si>
    <t xml:space="preserve">2.5.2. Предъявления доверенности срок действия которой истек, или доверенности оформленной ненадлежащим образом (ошибки, поправки, исправления); </t>
  </si>
  <si>
    <t>2.5. Арендодатель не производит приемку и передачу оборудования в случаях: 
2.5.1. Отсутствия доверенности у представителя Арендатора;</t>
  </si>
  <si>
    <t>Если в ходе осмотра выявлены дефекты и повреждения Стороны или их представители заносят характер дефектов и повреждений в акт приема-передачи (возврата) оборудования, который является основанием для оплаты Арендатором стоимости обслуживания и ремонта арендованного имущества в установленном настоящим Договором размере.</t>
  </si>
  <si>
    <t xml:space="preserve">2.4. По окончании срока аренды Сторонами или их представителями производится осмотр арендованного имущества с целью выявления дефектов и повреждений, не предусмотренных условиями нормальной эксплуатации и износа, после чего Стороны (их представители) составляют и подписывают акт приема-передачи (Возврата) арендованного имущества от Арендатора. </t>
  </si>
  <si>
    <t xml:space="preserve">Прием и передача арендованного оборудования, производится в рабочие дни понедельник – пятница (кроме праздничных дней) с 09:00 до 17:00 часов если иное не согласованно сторонами. </t>
  </si>
  <si>
    <t>2.3. Транспортировка и погрузо-разгрузочные работы арендованного имущества со склада Арендодателя до объекта Арендатора и по истечении срока аренды на склад Арендодателя осуществляется за счет Арендатора.</t>
  </si>
  <si>
    <t xml:space="preserve">2.1. Арендуемое имущество передается в состоянии, пригодном для немедленного и непосредственного осуществления Арендатором своей деятельности с его использованием.
</t>
  </si>
  <si>
    <t>2.2. Арендуемое имущество передается Арендодателем Арендатору по Акту приема-передачи арендованного имущества (Приложение № 2).</t>
  </si>
  <si>
    <t>3.3.2. Нести все связанные с использованием Оборудования риски в том числе: повреждение, хищение, ошибки использования оборудования, причинение вреда или убытков третьим лицам.</t>
  </si>
  <si>
    <t>3.3.3. Возвратить Оборудование Арендодателю по окончании Срока аренды, расторжении Договора в том же состоянии, в котором оно было передано в аренду с учетом нормального амортизационного износа.</t>
  </si>
  <si>
    <t>3.3.4. Принять в установленном порядке арендуемое имущество в срок 5 дней с момента подписания настоящего Договора.</t>
  </si>
  <si>
    <t>3.3.5. Использовать арендованное имущество по назначению, бережно к нему относиться и поддерживать его в исправном состоянии.</t>
  </si>
  <si>
    <t>3.3.6. Самостоятельно выполнить монтаж и демонтаж арендованного имущества.</t>
  </si>
  <si>
    <t>3.3.7. Не переуступать свои права и/или обязанности по настоящему Договору без предварительного письменного согласия Арендодателя.</t>
  </si>
  <si>
    <t>3.3.8. Незамедлительно информировать Арендодателя о получении каких-либо уведомлений, приказов, требований, указаний и иных документов (сведений), способных повлиять на права Арендодателя на арендованное имущество.</t>
  </si>
  <si>
    <t>3.3.9. В случае повреждения арендованного имущества в течение 3 (трех) календарных дней после обнаружения повреждения немедленно проинформировать об этом Арендодателя.</t>
  </si>
  <si>
    <t>3.3.10. На основании акта о повреждениях, составленного по истечении срока или в период действия настоящего Договора, уплатить стоимость ремонта поврежденного арендованного имущества или его отдельных частей в течение 10 (Десяти) дней в соответствие с составленным актом и калькуляцией ущерба, проведенной Арендодателем.</t>
  </si>
  <si>
    <t>Стоимость ремонта / обслуживания поврежденного имущества указывается в Приложении № 3 к настоящему Договору.</t>
  </si>
  <si>
    <t>3.3.11. По истечении срока аренды арендованного имущества вернуть его Арендодателю в том состоянии, в котором оно было передано, с учетом нормального износа по акту приема-передачи.</t>
  </si>
  <si>
    <t>В случае, если арендуемое имущество повреждено и не подлежит восстановлению, не возвращено к установленному настоящим Договором сроку, Арендатор возмещает стоимость этого имущества согласно спецификации, являющейся неотъемлемой частью настоящего Договора, посредством перечисления денежных средств на расчетный счет Арендодателя.</t>
  </si>
  <si>
    <t>3.4. Возникновение у Арендатора препятствий в пользовании им арендуемым имуществом, причинение ему этим прямых убытков, иного ущерба и упущенной выгоды не влияет на размеры и порядок производства Арендатором платежей по настоящему Договору.</t>
  </si>
  <si>
    <t>4. УСЛОВИЯ И ПОРЯДОК ОПЛАТЫ</t>
  </si>
  <si>
    <t>4.1. Арендатор, в течение 3 (Трех) рабочих дней с момента подписания Договора, уплачивает Арендодателю обеспечительный взнос в размере согласованном Сторонами в  Спецификации на арендуемое имущество (Приложение №1 к настоящему Договору).</t>
  </si>
  <si>
    <t>4.3. В случае продления срока аренды, Арендатор, в течение 3 (Трех) рабочих дней до момента окончания Срока аренды, оплачивает Стоимость продления аренды авансом в размере 100%.</t>
  </si>
  <si>
    <t>4.4. Арендодатель, в течение 10 (десяти) рабочих дней с момента подписания Акта приема – передачи (возврата) оборудования и получения от Арендатора оригинала письма о возврате обеспечительного взноса, возвращает Арендатору обеспечительный взнос или его остаток.</t>
  </si>
  <si>
    <t>4.5. Арендодатель имеет право самостоятельно в одностороннем порядке производить вычеты из обеспечительного взноса, в случае, если Арендатор не оплачивает в течение 5 (Пяти) рабочих дней с момента его уведомления, следующие платежи:</t>
  </si>
  <si>
    <t>4.5.1. Арендной платы при продления аренды, арендной платы за время просрочки возврата оборудования;</t>
  </si>
  <si>
    <t>4.5.2. Стоимость утраченного оборудования.</t>
  </si>
  <si>
    <t>4.5.3. Стоимость ремонта / обслуживания оборудования.</t>
  </si>
  <si>
    <t>4.5.4. Сумму расходов, связанных с досрочным расторжением Договора и вывозом оборудования с объекта (транспортные расходы, расходы по погрузке и разгрузке Оборудования, стоимость утраченного оборудования, ремонт/обслуживание оборудования и т.д.).</t>
  </si>
  <si>
    <t>4.6. Вычет из обеспечительного взноса может составлять как частичную, так и полную сумму обеспечительного взноса.</t>
  </si>
  <si>
    <t>4.6.1. В случае, если внесенные Арендатором авансом в порядке п.п. 4.1, 4.2 Договора обеспечительный взнос и арендной платы не достаточны для полной оплаты суммы арендных платежей, а также иных платежей, предусмотренных п.п. 4.5.1., 4.5.2., 4.5.3., 4.5.4. Договора, арендная плата начисляется до момента полного исполнения Арендатором всех обязательств.</t>
  </si>
  <si>
    <t>5. ОТВЕТСТВЕННОСТЬ СТОРОН</t>
  </si>
  <si>
    <t>5.2. В случае неисполнения или ненадлежащего исполнения обязанности письменно уведомить владельца строительной площадки (Генерального подрядчика и/или собственника Объекта) о нахождении на территории Объекта арендуемого Имущества и удержания Владельцем строительной площадки арендуемого имущества, Арендатор обязан в течение 3 (трех) календарных дней возместить в полном объеме стоимость имущества.</t>
  </si>
  <si>
    <t>1. Перечень и стоимость передаваемого в аренду оборудования:</t>
  </si>
  <si>
    <t>Всего:</t>
  </si>
  <si>
    <t>2. Арендная плата за комплект арендуемого оборудования  составляет :</t>
  </si>
  <si>
    <t>Настоящая Спецификация составлена в двух идентичных экземплярах, по одному для каждой из Сторон.</t>
  </si>
  <si>
    <t>Подписи представителей сторон:</t>
  </si>
  <si>
    <t>2. Оборудование передано в полном объеме, в установленные сроки в исправном состоянии и технически пригодном для использования по его назначению.</t>
  </si>
  <si>
    <t>Замечания к техническому состоянию переданного оборудования: Отсутствуют</t>
  </si>
  <si>
    <t>3. Настоящий Акт составлен в двух идентичных экземплярах, по одному для каждой из Сторон.</t>
  </si>
  <si>
    <t>СТОИМОСТЬ  РЕМОНТА / ОБСЛУЖИВАНИЯ ПОВРЕЖДЕННОГО ИМУЩЕСТВА</t>
  </si>
  <si>
    <t>1. В случае сдачи неочищенного оборудования Арендатор оплачивает Арендодателю стоимость очистки оборудования, указанную в Таблице №1, за каждый элемент.</t>
  </si>
  <si>
    <t>2. В случае повреждения оборудования, возможного для устранения и возвращения оборудованию товарного вида, Арендатор оплачивает Арендодателю стоимость работ по восстановлению элементов оборудования согласно Таблице №1.</t>
  </si>
  <si>
    <t>3. В случае прочих повреждений или утери арендованного имущества Арендатор компенсирует Арендодателю 100% (сто) его оценочной стоимости, согласно Приложению №1</t>
  </si>
  <si>
    <t>4. Настоящее Приложение составлено в двух экземплярах, по одному для каждой из Сторон.</t>
  </si>
  <si>
    <t>Таблица №1</t>
  </si>
  <si>
    <t>Стоимость очистки, руб.</t>
  </si>
  <si>
    <t>Стоимость восстановления, руб.</t>
  </si>
  <si>
    <t>Оборудование должно быть очищено от бетонной смеси и находиться в том же состоянии, в котором они было передано в аренду.</t>
  </si>
  <si>
    <t>Требования, предоставляемые к оборудованию:</t>
  </si>
  <si>
    <t>1. Рама проходная - не допускается: изменение геометрии, вмятины, забоины, нарушение сварных швов (визуально)</t>
  </si>
  <si>
    <t>2. Рама с лестницей - не допускается: изменение геометрии, вмятины, забоины, нарушение сварных швов (визуально)</t>
  </si>
  <si>
    <t>3. Горизонталь - не допускается: изменение геометрии, вмятины, забоины.</t>
  </si>
  <si>
    <t>4. Диагональ - не допускается: изменение геометрии, вмятины, забоины.</t>
  </si>
  <si>
    <t>5. Ригель для настила - не допускается: изменение геометрии, вмятины, забоины, нарушение сварных швов (визуально)</t>
  </si>
  <si>
    <t>6. Настил (щиты) - не допускается: изменение геометрии, плоскостность щита, вмятины по внешнему контуру щита, забоины трещины и сколы, наплывы бетона.</t>
  </si>
  <si>
    <t>1. Настоящим стороны подтверждают, что Арендатор передал (возвратил) Арендодателю следующее имущество в следующем составе, комплектности, количестве и стоимостью:</t>
  </si>
  <si>
    <t>2. Настоящий Акт составлен в двух идентичных экземплярах, по одному для каждой из Сторон.</t>
  </si>
  <si>
    <t>Инструкция по приёму-передаче оборудования</t>
  </si>
  <si>
    <t>2.9. Приемка оборудования регламентируется Инструкцией по приему - передаче оборудования, настоящего Договора (стр. 4)</t>
  </si>
  <si>
    <t>количество</t>
  </si>
  <si>
    <t>Комплектация</t>
  </si>
  <si>
    <t>от 500</t>
  </si>
  <si>
    <t>от 200</t>
  </si>
  <si>
    <t>от 50</t>
  </si>
  <si>
    <t>от 30</t>
  </si>
  <si>
    <t>от 100</t>
  </si>
  <si>
    <t>3.3.12. Использовать оборудование в месте, согласованном сторонами в Спецификации (Приложение № 1 к Договору). Изменение места использования оборудования допускается с предварительного письменного разрешения Арендодателя.</t>
  </si>
  <si>
    <t>3.3.13. Оповестить Арендодателя в устной или письменной форме за 2 (два) рабочих дня о фактической дате возврата оборудования.</t>
  </si>
  <si>
    <t>Количество, шт.</t>
  </si>
  <si>
    <t>4. Размер арендной платы за период аренды</t>
  </si>
  <si>
    <t>5. Размер обеспечительного взноса</t>
  </si>
  <si>
    <t>1. База - не допускается: изменение геометрии, вмятины, забоины, нарушение сварных швов (визуально)</t>
  </si>
  <si>
    <t>2. Лестница секции - не допускается: изменение геометрии, вмятины, забоины, нарушение сварных швов (визуально)</t>
  </si>
  <si>
    <t>3. Связи и стяжки - не допускается: изменение геометрии, вмятины, забоины.</t>
  </si>
  <si>
    <t>4. Настил (щиты) - не допускается: изменение геометрии, плоскостность щита, вмятины по внешнему контуру щита, забоины трещины и сколы, наплывы бетона.</t>
  </si>
  <si>
    <t>до 3,89м</t>
  </si>
  <si>
    <t>до 8,69м</t>
  </si>
  <si>
    <t>до 11,09</t>
  </si>
  <si>
    <t>до 13,49</t>
  </si>
  <si>
    <t>от 14,69</t>
  </si>
  <si>
    <t>До 3х недель</t>
  </si>
  <si>
    <t>До 30дн</t>
  </si>
  <si>
    <t>До 45 дней</t>
  </si>
  <si>
    <t>Св 45 дней</t>
  </si>
  <si>
    <t>Екатеринбург</t>
  </si>
  <si>
    <t>Челябинск</t>
  </si>
  <si>
    <t>Пермь</t>
  </si>
  <si>
    <t>Новосибирск</t>
  </si>
  <si>
    <t>Город=</t>
  </si>
  <si>
    <t>к=</t>
  </si>
  <si>
    <t>город</t>
  </si>
  <si>
    <t>аванс за … дней</t>
  </si>
  <si>
    <t>Кольцово</t>
  </si>
  <si>
    <t>номер спецификации/акта</t>
  </si>
  <si>
    <t>1.1. В порядке и на условиях настоящего Договора Арендодатель обязуется передать за плату во временное владение и пользование (аренду) Арендатору имущество(оборудование) (далее по тексту «имущество» или «оборудование») согласно Спецификации  (Приложение №1 к настоящему Договору)</t>
  </si>
  <si>
    <t>Среднеуральск</t>
  </si>
  <si>
    <t>046577964</t>
  </si>
  <si>
    <t xml:space="preserve">Старопышминск </t>
  </si>
  <si>
    <t>Реж</t>
  </si>
  <si>
    <t>Ревда</t>
  </si>
  <si>
    <t>абрис</t>
  </si>
  <si>
    <t>секций</t>
  </si>
  <si>
    <t>Горизонтальная связь (3м) ЛСПР-200</t>
  </si>
  <si>
    <t>Кол-во,
шт.</t>
  </si>
  <si>
    <t>Сумма,
руб.</t>
  </si>
  <si>
    <t>№
п/п</t>
  </si>
  <si>
    <t>Стоимость аренды 1шт/сут.</t>
  </si>
  <si>
    <t>Сумма, руб</t>
  </si>
  <si>
    <t>Стоимость оборудования</t>
  </si>
  <si>
    <t>Арендная ставка</t>
  </si>
  <si>
    <t>Начало аренды</t>
  </si>
  <si>
    <t>Рама прох</t>
  </si>
  <si>
    <t>Рама лестн</t>
  </si>
  <si>
    <t>Гориз-ль</t>
  </si>
  <si>
    <t>Щит</t>
  </si>
  <si>
    <t>Ригель</t>
  </si>
  <si>
    <t>цена за 1 шт</t>
  </si>
  <si>
    <t>цена в сутки</t>
  </si>
  <si>
    <t>1я сдача</t>
  </si>
  <si>
    <t>Остаток</t>
  </si>
  <si>
    <t>2я сдача</t>
  </si>
  <si>
    <t>3я сдача</t>
  </si>
  <si>
    <t>Дней аренды</t>
  </si>
  <si>
    <t>4я сдача</t>
  </si>
  <si>
    <t>5я сдача</t>
  </si>
  <si>
    <t>Оплачено</t>
  </si>
  <si>
    <t>Сегодня</t>
  </si>
  <si>
    <t>нужно</t>
  </si>
  <si>
    <t xml:space="preserve">3.1.2. По истечении срока аренды принять арендуемое имущество от Арендатора по акту приема-передачи. </t>
  </si>
  <si>
    <t>3.2. Арендодатель имеет право:</t>
  </si>
  <si>
    <t>Сухой лог, Глядены</t>
  </si>
  <si>
    <t>Реквизиты УПСК</t>
  </si>
  <si>
    <t xml:space="preserve">Наименование </t>
  </si>
  <si>
    <t>Реквизиты УПСК2 с НДС</t>
  </si>
  <si>
    <t>Колосова Ивана Андреевича</t>
  </si>
  <si>
    <t>В лице Директора</t>
  </si>
  <si>
    <t>Выборных Андрея Павловича</t>
  </si>
  <si>
    <t>Для подписи</t>
  </si>
  <si>
    <t>И.А. Колосов</t>
  </si>
  <si>
    <t>А.П. Выборных</t>
  </si>
  <si>
    <t>Почт. Адрес</t>
  </si>
  <si>
    <t>Юр. адрес</t>
  </si>
  <si>
    <t>Кор. Счет</t>
  </si>
  <si>
    <t>Р/счет</t>
  </si>
  <si>
    <t xml:space="preserve">1146670028141 </t>
  </si>
  <si>
    <t xml:space="preserve">40702810238030005462 </t>
  </si>
  <si>
    <t>Филиале «Екатеринбургский»  АО «АЛЬФА БАНК»</t>
  </si>
  <si>
    <t xml:space="preserve">30101810100000000964 </t>
  </si>
  <si>
    <t>6670463929</t>
  </si>
  <si>
    <t>667001001</t>
  </si>
  <si>
    <t>1186658009042</t>
  </si>
  <si>
    <t>40702810816540041503</t>
  </si>
  <si>
    <t>УРАЛЬСКИЙ БАНК ПАО СБЕРБАНК</t>
  </si>
  <si>
    <t>в лице</t>
  </si>
  <si>
    <t>ФИО директора</t>
  </si>
  <si>
    <t>Налогообложение</t>
  </si>
  <si>
    <t>Универсальная проектно-строительная компания</t>
  </si>
  <si>
    <t>Универсальная производственно-строительная компания</t>
  </si>
  <si>
    <t>-</t>
  </si>
  <si>
    <t>объем</t>
  </si>
  <si>
    <t>Большие Брусяны</t>
  </si>
  <si>
    <t>Новоуральск</t>
  </si>
  <si>
    <t>Вес</t>
  </si>
  <si>
    <t>кг</t>
  </si>
  <si>
    <t>м3</t>
  </si>
  <si>
    <t>Минималка у транпортной комп</t>
  </si>
  <si>
    <t>с НДС 20%</t>
  </si>
  <si>
    <t>Машин</t>
  </si>
  <si>
    <t>Шайдурово</t>
  </si>
  <si>
    <t>минимум</t>
  </si>
  <si>
    <t>максимум</t>
  </si>
  <si>
    <t xml:space="preserve">7. Итоговая стоимость по договору составляет </t>
  </si>
  <si>
    <t>Все цены указаны с учетом 20% НДС (кроме обеспечительного взноса)</t>
  </si>
  <si>
    <t>Сезон дисконт</t>
  </si>
  <si>
    <t>4.7. При досрочном расторжении Договора, а также при возврате оборудования Арендодателю или его части ранее окончания срока аренды, стоимость аренды  пересчитывается на фактический срок использования оборудования согластно Спецификации (Приложение №1 к настоящему договору), если иное не согласовано Сторонами.</t>
  </si>
  <si>
    <t>e-mail: upsk-2007@bk.ru</t>
  </si>
  <si>
    <t>E-MAIL</t>
  </si>
  <si>
    <t>Повреждено,
шт.</t>
  </si>
  <si>
    <t>Сдано,
шт.</t>
  </si>
  <si>
    <t>Арендовано,
шт.</t>
  </si>
  <si>
    <t>Сумма,
 руб.</t>
  </si>
  <si>
    <t>Скидка</t>
  </si>
  <si>
    <t>корректировка аренды в день +</t>
  </si>
  <si>
    <t>Вышка</t>
  </si>
  <si>
    <t>ПСРВ-21</t>
  </si>
  <si>
    <t>ПСРВ-22</t>
  </si>
  <si>
    <t>Столбец1</t>
  </si>
  <si>
    <t>Площадка</t>
  </si>
  <si>
    <t>Лестница секции (1160мм х 1930мм)</t>
  </si>
  <si>
    <t>Диагональ объемная (2776мм)</t>
  </si>
  <si>
    <t>Лестница ограждения (1160мм х 1930мм)</t>
  </si>
  <si>
    <t>для юр</t>
  </si>
  <si>
    <t>ндс</t>
  </si>
  <si>
    <t>окупаемость 4 месяца =</t>
  </si>
  <si>
    <t>ст-ть вышки</t>
  </si>
  <si>
    <t>наша стоимость</t>
  </si>
  <si>
    <t>итого</t>
  </si>
  <si>
    <t>коэф повышения</t>
  </si>
  <si>
    <t>наши</t>
  </si>
  <si>
    <t>цены абриса</t>
  </si>
  <si>
    <t>с ндс наши</t>
  </si>
  <si>
    <t xml:space="preserve">5.1. За нарушение сроков возврата арендованного имущества, нарушение сроков оплаты стоимости ремонта / обслуживания арендованного имущества, нарушение сроков уплаты арендной платы, Арендатор обязан уплатить Арендодателю неустойку в размере 0,3% (три десятых процента) от суммы (стоимости) неисполненного за каждый день просрочки до момента полного и надлежащего исполнения такого обязательства. Уплата неустойки не освобождает виновную Сторону от покрытия нанесенных другой Стороне убытков в полном объеме сверх подлежащей уплате неустойки и не освобождает виновную Сторону от надлежащего исполнения обязательств, принятых на себя по настоящему Договору. </t>
  </si>
  <si>
    <t>6. РАЗРЕШЕНИЕ СПОРОВ</t>
  </si>
  <si>
    <t>6.1. Стороны будут стремиться к разрешению всех возможных споров и разногласий, которые могут возникнуть по Договору или в связи с ним, путем переговоров.</t>
  </si>
  <si>
    <t>6.2. Споры, не урегулированные путем переговоров, передаются на рассмотрение суда по месту нахождения Арендодателя, в порядке, предусмотренном действующим законодательством, с соблюдением досудебного порядка урегулирования спора.</t>
  </si>
  <si>
    <t>6.3. Соответствующая претензия может быть направлена Сторонами одним из следующих способов: электронной почтой по адресу Стороны которой она адресована, указанному в настоящем Договоре, или направлена почтовым отправлением органом связи, в том числе по адресу указанному в настоящем Договоре, либо вручена Стороне.</t>
  </si>
  <si>
    <t>6.4. Срок рассмотрения претензии Стороной которой она направлена пятнадцать календарных дней со дня направления претензии (требования).</t>
  </si>
  <si>
    <t>7. ЗАКЛЮЧИТЕЛЬНЫЕ ПОЛОЖЕНИЯ</t>
  </si>
  <si>
    <t>7.1. Договор вступает в силу с момента его подписания Сторонами и действует в течение срока на который имущество передано в аренду, а в части исполнения Сторонами своих обязательств по договору - до полного и надлежащего их исполнения.</t>
  </si>
  <si>
    <t>7.2. Если по окончанию срока действия настоящего Договора ни одна из Сторон не заявила возражений относительно продления его срока действия, при условии того, что полученное Арендатором в аренду имущество не возвращено Арендодателю в установленный Договором срок, настоящий Договор автоматически пролонгируется (продлевается) на 1 (один) месяц без подписания Сторонами дополнительных соглашений об этом. Количество таких пролонгаций по окончанию срока действия Договора не ограничено.</t>
  </si>
  <si>
    <t>7.3. Стороны признают юридическую силу сообщений, направленных друг другу посредством электронной почты, а так же копий документов направленных при обмене такими сообщениями.</t>
  </si>
  <si>
    <t>7.4. Настоящий Договор составлен в двух экземплярах, по одному для каждой из Сторон.</t>
  </si>
  <si>
    <t>8. АДРЕСА, РЕКВИЗИТЫ И ПОДПИСИ СТОРОН:</t>
  </si>
  <si>
    <t>В том числе НДС 20%:</t>
  </si>
  <si>
    <t>генерального директора</t>
  </si>
  <si>
    <t>Реквизиты контрагента</t>
  </si>
  <si>
    <t>Дата для договора</t>
  </si>
  <si>
    <t>День</t>
  </si>
  <si>
    <t>В Лице</t>
  </si>
  <si>
    <t>Месяц</t>
  </si>
  <si>
    <t>директора</t>
  </si>
  <si>
    <t>Действующий</t>
  </si>
  <si>
    <t>Год</t>
  </si>
  <si>
    <t>Устава</t>
  </si>
  <si>
    <t>Буква</t>
  </si>
  <si>
    <t>А</t>
  </si>
  <si>
    <t>исполнительного директора</t>
  </si>
  <si>
    <t>записи в ЕГРН</t>
  </si>
  <si>
    <t>Индекс</t>
  </si>
  <si>
    <t>индивидуального предпринимателя</t>
  </si>
  <si>
    <t>Свидетельства</t>
  </si>
  <si>
    <t>Дейсвующий на основании</t>
  </si>
  <si>
    <t>управляющего</t>
  </si>
  <si>
    <t>договора</t>
  </si>
  <si>
    <t>Свидетельство(Договор) №</t>
  </si>
  <si>
    <t>управляющего индивидуального предпринимателя</t>
  </si>
  <si>
    <t>Самовывоз</t>
  </si>
  <si>
    <t>Телефон</t>
  </si>
  <si>
    <t>Город работы</t>
  </si>
  <si>
    <t>Должность</t>
  </si>
  <si>
    <t>Написать вручную</t>
  </si>
  <si>
    <t>Краснопольскому Роману Евгеньевичу</t>
  </si>
  <si>
    <t xml:space="preserve">E-mail:  upsk-2007@bk.ru Телефон: +7(343)2068882 </t>
  </si>
  <si>
    <t>Дата исходящего</t>
  </si>
  <si>
    <t>Акт невозврата и повреждений</t>
  </si>
  <si>
    <t>Калькуляция ущерба</t>
  </si>
  <si>
    <t>Сдано в аренду «актом приема передачи оборудования в аренду»:</t>
  </si>
  <si>
    <t>Возвращено «актом приема-передачи (возврата) оборудования»:</t>
  </si>
  <si>
    <t>Повреждение оборудования согласно акта приема(возврата):</t>
  </si>
  <si>
    <t>Стоимость
ремонта
руб. за ед.</t>
  </si>
  <si>
    <t>Не вернули</t>
  </si>
  <si>
    <t>Ремонт</t>
  </si>
  <si>
    <t>Очистка</t>
  </si>
  <si>
    <t>ОБЩЕСТВО  С  ОГРАНИЧЕННОЙ  ОТВЕТСТВЕННОСТЬЮ</t>
  </si>
  <si>
    <t>Адрес: 620075,  г. Екатеринбург, ул. Мамина-Сибиряка, 101, оф. 16.09</t>
  </si>
  <si>
    <t>ИНН/КПП  6670463929 / 667001001,  ОГРН 1186658009042</t>
  </si>
  <si>
    <t>Р/счет 40702810816540041503 в Банке УРАЛЬСКИЙ БАНК ПАО СБЕРБАНК</t>
  </si>
  <si>
    <t>БИК 046577674  К/с  30101810500000000674</t>
  </si>
  <si>
    <t>Директор ООО "УПСК"</t>
  </si>
  <si>
    <t>Выборных Андрей Павлович</t>
  </si>
  <si>
    <t>Арендовали</t>
  </si>
  <si>
    <t>Сдали</t>
  </si>
  <si>
    <t>Сумма в день</t>
  </si>
  <si>
    <t>620066, Свердловская область, г. Екатеринбург, ул. Вилонова, стр. 45Л</t>
  </si>
  <si>
    <t>стали</t>
  </si>
  <si>
    <t>было</t>
  </si>
  <si>
    <t>7 Кронштейн</t>
  </si>
  <si>
    <t>8 Башмак</t>
  </si>
  <si>
    <t>Кронштейн</t>
  </si>
  <si>
    <t>Башмак</t>
  </si>
  <si>
    <t>Процент окупаемости</t>
  </si>
  <si>
    <t>Рекомендуемая цена</t>
  </si>
  <si>
    <t>заместителя директора</t>
  </si>
  <si>
    <t>доверенности</t>
  </si>
  <si>
    <t>% окупаемости</t>
  </si>
  <si>
    <t>Рек цена</t>
  </si>
  <si>
    <t>620066, Свердловская область, г. Екатеринбург, ул. Вилонова, стр. 45Л, офис 506,</t>
  </si>
  <si>
    <t>ООО "Эдвако-Инжиниринг"</t>
  </si>
  <si>
    <t>Коряжбина Эдуарда Васильевича</t>
  </si>
  <si>
    <t>ekoryazhbin@mail.ru</t>
  </si>
  <si>
    <t>620014, РФ, г. Екатеринбург, ул. Московская, д.11 офис 903</t>
  </si>
  <si>
    <t xml:space="preserve">620014, РФ, г. Екатеринбург, ул. Московская, д.11 офис 903 </t>
  </si>
  <si>
    <t>6658401387</t>
  </si>
  <si>
    <t>665801001</t>
  </si>
  <si>
    <t xml:space="preserve">40702810562130001221 </t>
  </si>
  <si>
    <t>ПАО КБ «УБРиР»</t>
  </si>
  <si>
    <t>046577795</t>
  </si>
  <si>
    <t>30101810900000000795</t>
  </si>
  <si>
    <t>1126658000050</t>
  </si>
  <si>
    <t>(+7343) 227-34-77</t>
  </si>
  <si>
    <t>1.1. В порядке и на условиях настоящего Договора Арендодатель обязуется передать за плату во временное пользование (аренду) Арендатору имущество (далее по тексту «имущество» или «Оборудование») согласно Спецификации  (Приложение №1 к настоящему Договору)</t>
  </si>
  <si>
    <t>1.3. Перечень, количество, стоимость передаваемого в аренду Оборудования, срок его аренды согласовывается сторонами в Спецификации, являющейся неотъемлемой частью настоящего Договора (Приложение №1 к Договору).</t>
  </si>
  <si>
    <t>2.2. Арендуемое имущество передается Арендодателем Арендатору по Акту приема-передачи арендованного имущества (Приложение № 2 к настоящему Договору).</t>
  </si>
  <si>
    <t>2.6. При наступлении обстоятельств, предусмотренных п. 2.5. Договора Арендатор обязан возместить все расходы, понесенные Арендодателем, связанные с организацией приемки-передачи Оборудования (погрузочно-разгрузочные работы, транспортные расходы).</t>
  </si>
  <si>
    <t>2.8. 2.8. Возврат Оборудования не освобождает Арендатора от исполнения обязательств по оплате всех причитающихся в связи пользованием Оборудованием платежей в соответствии с условиями Договора.</t>
  </si>
  <si>
    <t xml:space="preserve">3.1. Арендодатель обязуется: 
3.1.1. Передать Арендатору арендуемое имущество в порядке и сроки, предусмотренные Договором.
</t>
  </si>
  <si>
    <t xml:space="preserve">3.2.1. Осуществлять проверки арендованного имущества в период срока действия настоящего Договора на объекте его использования. 
</t>
  </si>
  <si>
    <t>3.3.1.  Присутствовать при передаче Оборудования в аренду и возврате Оборудования из аренды, или назначить своего представителя уполномоченного доверенностью, а также несущего ответственность за сохранность и правильную эксплуатацию «Оборудования».</t>
  </si>
  <si>
    <t>3.3.2. Нести все связанные с использованием Оборудования риски в том числе, но не ограничиваясь: уничтожение, повреждение, утрата, хищение, ошибки использования оборудования, причинение вреда или убытков третьим лицам.</t>
  </si>
  <si>
    <t>3.3.3. Возвратить Оборудование Арендодателю по окончании Срока аренды, расторжении Договора в том же состоянии, в котором оно было передано в аренду с учетом нормального амортизационного износа по акту приема-передачи.</t>
  </si>
  <si>
    <t>3.3.4. Принять в установленном порядке арендуемое Имущество в срок 5 (пять) дней с момента подписания настоящего Договора.</t>
  </si>
  <si>
    <t>3.3.6. Самостоятельно выполнить монтаж и демонтаж арендованного Имущества.</t>
  </si>
  <si>
    <t>3.3.9. В случае повреждения или утраты арендованного Имущества информировать об этом Арендодателя в срок не позднее 3 (трех) календарных дней с момента указанных обстоятельств.
В случае, если арендуемое Имущество повреждено и не подлежит восстановлению, не возвращено к установленному настоящим Договором сроку, Арендатор возмещает стоимость этого Имущества согласно Спецификации, посредством перечисления денежных средств на расчетный счет Арендодателя.</t>
  </si>
  <si>
    <t>3.3.10. На основании Акта о повреждениях, составленного Сторонами по истечении срока или в период действия настоящего Договора, уплатить стоимость ремонта поврежденного арендованного Имущества или его отдельных частей в течение 10 (Десяти) дней на основании калькуляции ущерба Арендодателя.
Стоимость ремонта / обслуживания поврежденного Имущества согласована Сторонами в Приложении № 3 к Договору.</t>
  </si>
  <si>
    <t>4.1. Арендатор, в течение 3 (Трех) рабочих дней с момента подписания Договора, уплачивает Арендодателю обеспечительный взнос в размере согласованном Сторонами в  Спецификации на арендуемое имущество, а так же авансом арендную плату согласно Приложению №1 к настоящему Договору.</t>
  </si>
  <si>
    <t>4.2. Арендная плата подлежит начислению с даты передачи Имущества Арендатору по Акту приема -передачи, включая день когда Имущество было передано, по день возврата этого Имущества Арендатору.</t>
  </si>
  <si>
    <t>4.5.5. Суммы штрафных санкций, неустоек (пени) предусмотренных Договором.</t>
  </si>
  <si>
    <t>4.6.1. В случае, если внесенных Арендатором авансом в порядке предусмотренном п.п. 4.1, 4.2 Договора размера обеспечительного взноса не достаточно для полной оплаты суммы начисленных платежей, предусмотренных п. 4.5. Договора, арендная плата начисляется до момента полного исполнения Арендатором обязательств по возврату арендованного Имущества.</t>
  </si>
  <si>
    <t>4.7. При досрочном расторжении Договора, а также при возврате Оборудования Арендодателю, или его части ранее окончания срока аренды, стоимость аренды пересчитывается на фактический срок использования Оборудования согласно условиям, согласованным Сторонами в Спецификации, если иное не установлено Сторонами.</t>
  </si>
  <si>
    <t>5.1. За нарушение сроков возврата арендованного Имущества, сроков оплаты стоимости ремонта / обслуживания арендованного Имущества, сроков уплаты арендной платы, Арендатор обязан уплатить Арендодателю неустойку (пени) в размере 0,2% (две десятых процента) от суммы (размера / стоимости) неисполненного за каждый день просрочки. Причиненные Арендатору нарушением условий Договора убытки подлежат возмещению Арендатором в полной сумме сверх неустойки (пени).</t>
  </si>
  <si>
    <t>5.2. За нарушение условий Договора Арендодатель несет ответственность предусмотренную действующим законодательством Российской Федерации. Ответственность Арендодателя в виде возмещения убытков ограничена реальным ущербом.</t>
  </si>
  <si>
    <t>5.3. В случае неисполнения или ненадлежащего исполнения Арендатором обязанности письменно уведомить владельца строительной площадки (генерального подрядчика и/или собственника объекта) о нахождении на территории объекта арендуемого Имущества и удержания владельцем строительной площадки арендуемого Имущества, Арендатор обязан возместить Арендодателю в полном объеме стоимость такого Имущества в течение 3 (трех) дней с момента получения соответствующего требования.</t>
  </si>
  <si>
    <t>6.4. Срок рассмотрения претензии Стороной которой она направлена 15 (Пятнадцать) календарных дней со дня  направления претензии (требования) адресату.</t>
  </si>
  <si>
    <t>2.9. Требования к возврату оборудования регламентируются, разделом 8 настоящего Договора.</t>
  </si>
</sst>
</file>

<file path=xl/styles.xml><?xml version="1.0" encoding="utf-8"?>
<styleSheet xmlns="http://schemas.openxmlformats.org/spreadsheetml/2006/main">
  <numFmts count="9">
    <numFmt numFmtId="44" formatCode="_-* #,##0.00\ &quot;₽&quot;_-;\-* #,##0.00\ &quot;₽&quot;_-;_-* &quot;-&quot;??\ &quot;₽&quot;_-;_-@_-"/>
    <numFmt numFmtId="164" formatCode="_-* #,##0.00&quot;р.&quot;_-;\-* #,##0.00&quot;р.&quot;_-;_-* &quot;-&quot;??&quot;р.&quot;_-;_-@_-"/>
    <numFmt numFmtId="165" formatCode="#,##0.00;\(#,##0.00\)"/>
    <numFmt numFmtId="166" formatCode="#,##0.00&quot;р.&quot;"/>
    <numFmt numFmtId="167" formatCode="000000000"/>
    <numFmt numFmtId="168" formatCode="#,##0.0&quot;р.&quot;"/>
    <numFmt numFmtId="169" formatCode="[$-F800]dddd\,\ mmmm\ dd\,\ yyyy"/>
    <numFmt numFmtId="170" formatCode="#,##0.00\ &quot;₽&quot;"/>
    <numFmt numFmtId="171" formatCode="#,##0\ &quot;₽&quot;"/>
  </numFmts>
  <fonts count="80">
    <font>
      <sz val="11"/>
      <color theme="1"/>
      <name val="Calibri"/>
      <family val="2"/>
      <charset val="204"/>
      <scheme val="minor"/>
    </font>
    <font>
      <b/>
      <sz val="11"/>
      <color theme="1"/>
      <name val="Calibri"/>
      <family val="2"/>
      <charset val="204"/>
      <scheme val="minor"/>
    </font>
    <font>
      <i/>
      <sz val="9"/>
      <color theme="1"/>
      <name val="Calibri"/>
      <family val="2"/>
      <charset val="204"/>
      <scheme val="minor"/>
    </font>
    <font>
      <b/>
      <sz val="11"/>
      <color rgb="FFFF0000"/>
      <name val="Calibri"/>
      <family val="2"/>
      <charset val="204"/>
      <scheme val="minor"/>
    </font>
    <font>
      <sz val="11"/>
      <color theme="3" tint="0.39997558519241921"/>
      <name val="Calibri"/>
      <family val="2"/>
      <charset val="204"/>
      <scheme val="minor"/>
    </font>
    <font>
      <b/>
      <i/>
      <sz val="11"/>
      <color theme="1"/>
      <name val="Calibri"/>
      <family val="2"/>
      <charset val="204"/>
      <scheme val="minor"/>
    </font>
    <font>
      <i/>
      <sz val="11"/>
      <color theme="1"/>
      <name val="Calibri"/>
      <family val="2"/>
      <charset val="204"/>
      <scheme val="minor"/>
    </font>
    <font>
      <i/>
      <sz val="9"/>
      <color theme="0" tint="-0.34998626667073579"/>
      <name val="Calibri"/>
      <family val="2"/>
      <charset val="204"/>
      <scheme val="minor"/>
    </font>
    <font>
      <b/>
      <i/>
      <sz val="11"/>
      <color rgb="FFFF0000"/>
      <name val="Calibri"/>
      <family val="2"/>
      <charset val="204"/>
      <scheme val="minor"/>
    </font>
    <font>
      <sz val="48"/>
      <color theme="1"/>
      <name val="Calibri"/>
      <family val="2"/>
      <charset val="204"/>
      <scheme val="minor"/>
    </font>
    <font>
      <sz val="11"/>
      <color theme="5" tint="-0.249977111117893"/>
      <name val="Calibri"/>
      <family val="2"/>
      <charset val="204"/>
      <scheme val="minor"/>
    </font>
    <font>
      <sz val="28"/>
      <color rgb="FF000000"/>
      <name val="Calibri"/>
      <family val="2"/>
      <charset val="204"/>
      <scheme val="minor"/>
    </font>
    <font>
      <sz val="48"/>
      <color rgb="FF000000"/>
      <name val="Calibri"/>
      <family val="2"/>
      <charset val="204"/>
      <scheme val="minor"/>
    </font>
    <font>
      <sz val="17"/>
      <color rgb="FF000000"/>
      <name val="Calibri"/>
      <family val="2"/>
      <charset val="204"/>
      <scheme val="minor"/>
    </font>
    <font>
      <sz val="11"/>
      <name val="Calibri"/>
      <family val="2"/>
      <charset val="204"/>
      <scheme val="minor"/>
    </font>
    <font>
      <sz val="11"/>
      <color theme="9" tint="-0.499984740745262"/>
      <name val="Calibri"/>
      <family val="2"/>
      <charset val="204"/>
      <scheme val="minor"/>
    </font>
    <font>
      <sz val="10"/>
      <name val="Arial"/>
      <family val="2"/>
      <charset val="204"/>
    </font>
    <font>
      <b/>
      <sz val="11"/>
      <color rgb="FF3F3F3F"/>
      <name val="Calibri"/>
      <family val="2"/>
      <charset val="204"/>
      <scheme val="minor"/>
    </font>
    <font>
      <b/>
      <sz val="9"/>
      <color indexed="81"/>
      <name val="Tahoma"/>
      <family val="2"/>
      <charset val="204"/>
    </font>
    <font>
      <sz val="10"/>
      <name val="Arial"/>
      <family val="2"/>
      <charset val="204"/>
    </font>
    <font>
      <b/>
      <u/>
      <sz val="16"/>
      <color theme="1"/>
      <name val="Calibri"/>
      <family val="2"/>
      <charset val="204"/>
      <scheme val="minor"/>
    </font>
    <font>
      <b/>
      <sz val="8"/>
      <color indexed="81"/>
      <name val="Tahoma"/>
      <family val="2"/>
      <charset val="204"/>
    </font>
    <font>
      <sz val="12"/>
      <color theme="1"/>
      <name val="Calibri"/>
      <family val="2"/>
      <charset val="204"/>
      <scheme val="minor"/>
    </font>
    <font>
      <b/>
      <sz val="12"/>
      <color theme="1"/>
      <name val="Calibri"/>
      <family val="2"/>
      <charset val="204"/>
      <scheme val="minor"/>
    </font>
    <font>
      <b/>
      <sz val="14"/>
      <color theme="1"/>
      <name val="Calibri"/>
      <family val="2"/>
      <charset val="204"/>
      <scheme val="minor"/>
    </font>
    <font>
      <b/>
      <u/>
      <sz val="20"/>
      <color theme="1"/>
      <name val="Calibri"/>
      <family val="2"/>
      <charset val="204"/>
      <scheme val="minor"/>
    </font>
    <font>
      <sz val="12"/>
      <name val="Calibri"/>
      <family val="2"/>
      <charset val="204"/>
      <scheme val="minor"/>
    </font>
    <font>
      <sz val="8"/>
      <color theme="1"/>
      <name val="Calibri"/>
      <family val="2"/>
      <charset val="204"/>
      <scheme val="minor"/>
    </font>
    <font>
      <b/>
      <sz val="12"/>
      <color rgb="FF000000"/>
      <name val="Times New Roman"/>
      <family val="1"/>
      <charset val="204"/>
    </font>
    <font>
      <b/>
      <sz val="10"/>
      <color theme="1"/>
      <name val="Times New Roman"/>
      <family val="1"/>
      <charset val="204"/>
    </font>
    <font>
      <b/>
      <sz val="12"/>
      <color theme="1"/>
      <name val="Times New Roman"/>
      <family val="1"/>
      <charset val="204"/>
    </font>
    <font>
      <b/>
      <sz val="10"/>
      <color rgb="FF000000"/>
      <name val="Times New Roman"/>
      <family val="1"/>
      <charset val="204"/>
    </font>
    <font>
      <sz val="12"/>
      <color theme="1"/>
      <name val="Times New Roman"/>
      <family val="1"/>
      <charset val="204"/>
    </font>
    <font>
      <sz val="12"/>
      <color rgb="FF000000"/>
      <name val="Times New Roman"/>
      <family val="1"/>
      <charset val="204"/>
    </font>
    <font>
      <i/>
      <u/>
      <sz val="12"/>
      <color rgb="FF000000"/>
      <name val="Times New Roman"/>
      <family val="1"/>
      <charset val="204"/>
    </font>
    <font>
      <i/>
      <u/>
      <sz val="12"/>
      <color theme="1"/>
      <name val="Times New Roman"/>
      <family val="1"/>
      <charset val="204"/>
    </font>
    <font>
      <sz val="14"/>
      <name val="Arial"/>
      <family val="2"/>
    </font>
    <font>
      <sz val="8"/>
      <name val="Arial"/>
      <family val="2"/>
    </font>
    <font>
      <i/>
      <sz val="10"/>
      <name val="Arial"/>
      <family val="2"/>
      <charset val="204"/>
    </font>
    <font>
      <b/>
      <sz val="10"/>
      <name val="Arial"/>
      <family val="2"/>
      <charset val="204"/>
    </font>
    <font>
      <sz val="11"/>
      <color theme="0"/>
      <name val="Calibri"/>
      <family val="2"/>
      <charset val="204"/>
      <scheme val="minor"/>
    </font>
    <font>
      <sz val="8"/>
      <color theme="1"/>
      <name val="Arial"/>
      <family val="2"/>
      <charset val="204"/>
    </font>
    <font>
      <sz val="9"/>
      <name val="Arial"/>
      <family val="2"/>
      <charset val="204"/>
    </font>
    <font>
      <sz val="8"/>
      <name val="Arial"/>
      <family val="2"/>
      <charset val="204"/>
    </font>
    <font>
      <b/>
      <sz val="14"/>
      <name val="Arial"/>
      <family val="2"/>
      <charset val="204"/>
    </font>
    <font>
      <b/>
      <sz val="9"/>
      <name val="Arial"/>
      <family val="2"/>
      <charset val="204"/>
    </font>
    <font>
      <sz val="11"/>
      <color theme="1"/>
      <name val="Arial"/>
      <family val="2"/>
      <charset val="204"/>
    </font>
    <font>
      <sz val="10"/>
      <color rgb="FF000000"/>
      <name val="Times New Roman"/>
      <family val="1"/>
      <charset val="204"/>
    </font>
    <font>
      <sz val="10"/>
      <color theme="1"/>
      <name val="Times New Roman"/>
      <family val="1"/>
      <charset val="204"/>
    </font>
    <font>
      <i/>
      <sz val="12"/>
      <color theme="1"/>
      <name val="Times New Roman"/>
      <family val="1"/>
      <charset val="204"/>
    </font>
    <font>
      <b/>
      <sz val="12"/>
      <name val="Times New Roman"/>
      <family val="1"/>
      <charset val="204"/>
    </font>
    <font>
      <sz val="10"/>
      <name val="Times New Roman"/>
      <family val="1"/>
      <charset val="204"/>
    </font>
    <font>
      <b/>
      <sz val="12"/>
      <name val="Calibri"/>
      <family val="2"/>
      <charset val="204"/>
      <scheme val="minor"/>
    </font>
    <font>
      <b/>
      <sz val="9"/>
      <color theme="1"/>
      <name val="Calibri"/>
      <family val="2"/>
      <charset val="204"/>
      <scheme val="minor"/>
    </font>
    <font>
      <sz val="12"/>
      <color theme="0"/>
      <name val="Times New Roman"/>
      <family val="1"/>
      <charset val="204"/>
    </font>
    <font>
      <b/>
      <sz val="11"/>
      <color theme="0"/>
      <name val="Calibri"/>
      <family val="2"/>
      <charset val="204"/>
      <scheme val="minor"/>
    </font>
    <font>
      <sz val="12"/>
      <name val="Times New Roman"/>
      <family val="1"/>
      <charset val="204"/>
    </font>
    <font>
      <sz val="11"/>
      <color theme="0" tint="-0.499984740745262"/>
      <name val="Calibri"/>
      <family val="2"/>
      <charset val="204"/>
      <scheme val="minor"/>
    </font>
    <font>
      <sz val="10"/>
      <name val="Calibri"/>
      <family val="2"/>
      <charset val="204"/>
      <scheme val="minor"/>
    </font>
    <font>
      <sz val="11"/>
      <color rgb="FF000000"/>
      <name val="Times New Roman"/>
      <family val="1"/>
      <charset val="204"/>
    </font>
    <font>
      <sz val="11"/>
      <color theme="1"/>
      <name val="Times New Roman"/>
      <family val="1"/>
      <charset val="204"/>
    </font>
    <font>
      <b/>
      <sz val="11"/>
      <color theme="1"/>
      <name val="Times New Roman"/>
      <family val="1"/>
      <charset val="204"/>
    </font>
    <font>
      <u/>
      <sz val="11"/>
      <color theme="1"/>
      <name val="Times New Roman"/>
      <family val="1"/>
      <charset val="204"/>
    </font>
    <font>
      <b/>
      <sz val="11"/>
      <color rgb="FF000000"/>
      <name val="Times New Roman"/>
      <family val="1"/>
      <charset val="204"/>
    </font>
    <font>
      <b/>
      <sz val="11"/>
      <name val="Calibri"/>
      <family val="2"/>
      <charset val="204"/>
      <scheme val="minor"/>
    </font>
    <font>
      <sz val="9"/>
      <color rgb="FF000000"/>
      <name val="Times New Roman"/>
      <family val="1"/>
      <charset val="204"/>
    </font>
    <font>
      <b/>
      <i/>
      <sz val="14"/>
      <color theme="1"/>
      <name val="Calibri"/>
      <family val="2"/>
      <charset val="204"/>
      <scheme val="minor"/>
    </font>
    <font>
      <b/>
      <sz val="11"/>
      <color theme="3" tint="-0.249977111117893"/>
      <name val="Calibri"/>
      <family val="2"/>
      <charset val="204"/>
      <scheme val="minor"/>
    </font>
    <font>
      <sz val="9"/>
      <color theme="1" tint="0.34998626667073579"/>
      <name val="Calibri"/>
      <family val="2"/>
      <charset val="204"/>
      <scheme val="minor"/>
    </font>
    <font>
      <b/>
      <sz val="10"/>
      <color theme="1"/>
      <name val="Calibri"/>
      <family val="2"/>
      <charset val="204"/>
      <scheme val="minor"/>
    </font>
    <font>
      <sz val="8"/>
      <color theme="1"/>
      <name val="Times New Roman"/>
      <family val="1"/>
      <charset val="204"/>
    </font>
    <font>
      <sz val="8"/>
      <color theme="0" tint="-0.499984740745262"/>
      <name val="Calibri"/>
      <family val="2"/>
      <charset val="204"/>
      <scheme val="minor"/>
    </font>
    <font>
      <i/>
      <sz val="9"/>
      <color theme="0" tint="-0.499984740745262"/>
      <name val="Calibri"/>
      <family val="2"/>
      <charset val="204"/>
      <scheme val="minor"/>
    </font>
    <font>
      <b/>
      <sz val="16"/>
      <color theme="1"/>
      <name val="Calibri"/>
      <family val="2"/>
      <charset val="204"/>
      <scheme val="minor"/>
    </font>
    <font>
      <sz val="16"/>
      <color theme="1"/>
      <name val="Calibri"/>
      <family val="2"/>
      <charset val="204"/>
      <scheme val="minor"/>
    </font>
    <font>
      <b/>
      <sz val="14"/>
      <color theme="1"/>
      <name val="Times New Roman"/>
      <family val="1"/>
      <charset val="204"/>
    </font>
    <font>
      <u/>
      <sz val="11"/>
      <color theme="10"/>
      <name val="Calibri"/>
      <family val="2"/>
      <charset val="204"/>
    </font>
    <font>
      <b/>
      <sz val="14"/>
      <name val="Calibri"/>
      <family val="2"/>
      <charset val="204"/>
      <scheme val="minor"/>
    </font>
    <font>
      <sz val="9"/>
      <color theme="1"/>
      <name val="Calibri"/>
      <family val="2"/>
      <charset val="204"/>
      <scheme val="minor"/>
    </font>
    <font>
      <i/>
      <sz val="10"/>
      <color theme="0" tint="-0.499984740745262"/>
      <name val="Calibri"/>
      <family val="2"/>
      <charset val="204"/>
      <scheme val="minor"/>
    </font>
  </fonts>
  <fills count="18">
    <fill>
      <patternFill patternType="none"/>
    </fill>
    <fill>
      <patternFill patternType="gray125"/>
    </fill>
    <fill>
      <patternFill patternType="solid">
        <fgColor rgb="FFFFFF00"/>
        <bgColor indexed="64"/>
      </patternFill>
    </fill>
    <fill>
      <patternFill patternType="solid">
        <fgColor rgb="FF00FF00"/>
        <bgColor rgb="FF00FF00"/>
      </patternFill>
    </fill>
    <fill>
      <patternFill patternType="solid">
        <fgColor rgb="FF000000"/>
        <bgColor rgb="FF000000"/>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2F2F2"/>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99"/>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7" fillId="7" borderId="31" applyNumberFormat="0" applyAlignment="0" applyProtection="0"/>
    <xf numFmtId="0" fontId="76" fillId="0" borderId="0" applyNumberFormat="0" applyFill="0" applyBorder="0" applyAlignment="0" applyProtection="0">
      <alignment vertical="top"/>
      <protection locked="0"/>
    </xf>
  </cellStyleXfs>
  <cellXfs count="815">
    <xf numFmtId="0" fontId="0" fillId="0" borderId="0" xfId="0"/>
    <xf numFmtId="0" fontId="1" fillId="0" borderId="0" xfId="0" applyFont="1"/>
    <xf numFmtId="0" fontId="0" fillId="0" borderId="0" xfId="0" applyAlignment="1">
      <alignment horizontal="right"/>
    </xf>
    <xf numFmtId="0" fontId="0" fillId="0" borderId="1" xfId="0"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xf>
    <xf numFmtId="0" fontId="1" fillId="0" borderId="9" xfId="0" applyFont="1" applyBorder="1" applyAlignment="1">
      <alignment horizontal="center"/>
    </xf>
    <xf numFmtId="0" fontId="1" fillId="0" borderId="1" xfId="0" applyFont="1" applyBorder="1" applyAlignment="1">
      <alignment horizontal="center"/>
    </xf>
    <xf numFmtId="0" fontId="4" fillId="0" borderId="1" xfId="0" applyFont="1" applyBorder="1"/>
    <xf numFmtId="0" fontId="1" fillId="0" borderId="0" xfId="0" applyFont="1" applyAlignment="1">
      <alignment horizontal="right"/>
    </xf>
    <xf numFmtId="0" fontId="1" fillId="0" borderId="1" xfId="0" applyFont="1" applyBorder="1"/>
    <xf numFmtId="0" fontId="0" fillId="0" borderId="12" xfId="0" applyBorder="1" applyAlignment="1">
      <alignment horizontal="left"/>
    </xf>
    <xf numFmtId="0" fontId="0" fillId="0" borderId="13" xfId="0" applyBorder="1" applyAlignment="1">
      <alignment horizontal="center"/>
    </xf>
    <xf numFmtId="0" fontId="0" fillId="0" borderId="14" xfId="0" applyBorder="1"/>
    <xf numFmtId="0" fontId="6" fillId="0" borderId="15" xfId="0" applyFont="1" applyBorder="1" applyAlignment="1">
      <alignment horizontal="right"/>
    </xf>
    <xf numFmtId="0" fontId="6" fillId="0" borderId="16" xfId="0" applyFont="1" applyBorder="1"/>
    <xf numFmtId="0" fontId="6" fillId="0" borderId="17" xfId="0" applyFont="1" applyBorder="1"/>
    <xf numFmtId="0" fontId="0" fillId="0" borderId="10" xfId="0" applyBorder="1"/>
    <xf numFmtId="0" fontId="0" fillId="0" borderId="18" xfId="0" applyBorder="1" applyAlignment="1">
      <alignment horizontal="center" vertical="center"/>
    </xf>
    <xf numFmtId="0" fontId="1" fillId="0" borderId="18" xfId="0" applyFont="1" applyBorder="1" applyAlignment="1">
      <alignment horizontal="center" vertical="center"/>
    </xf>
    <xf numFmtId="0" fontId="7" fillId="0" borderId="12" xfId="0" applyFont="1" applyBorder="1" applyAlignment="1">
      <alignment horizontal="right"/>
    </xf>
    <xf numFmtId="0" fontId="0" fillId="0" borderId="13" xfId="0" applyBorder="1"/>
    <xf numFmtId="0" fontId="7" fillId="0" borderId="14" xfId="0" applyFont="1" applyBorder="1"/>
    <xf numFmtId="0" fontId="2" fillId="0" borderId="0" xfId="0" applyFont="1" applyBorder="1"/>
    <xf numFmtId="0" fontId="0" fillId="0" borderId="0" xfId="0" applyBorder="1"/>
    <xf numFmtId="0" fontId="0" fillId="0" borderId="15" xfId="0" applyBorder="1"/>
    <xf numFmtId="0" fontId="0" fillId="0" borderId="16" xfId="0" applyBorder="1"/>
    <xf numFmtId="0" fontId="5" fillId="0" borderId="1" xfId="0" applyFont="1" applyBorder="1" applyAlignment="1">
      <alignment horizontal="center"/>
    </xf>
    <xf numFmtId="0" fontId="0" fillId="0" borderId="1" xfId="0" applyBorder="1" applyAlignment="1">
      <alignment horizontal="center"/>
    </xf>
    <xf numFmtId="0" fontId="0" fillId="0" borderId="19" xfId="0" applyBorder="1"/>
    <xf numFmtId="0" fontId="5" fillId="0" borderId="20" xfId="0" applyFont="1" applyBorder="1" applyAlignment="1">
      <alignment horizontal="center"/>
    </xf>
    <xf numFmtId="0" fontId="0" fillId="0" borderId="20" xfId="0" applyBorder="1" applyAlignment="1">
      <alignment horizontal="center"/>
    </xf>
    <xf numFmtId="0" fontId="0" fillId="0" borderId="21" xfId="0" applyBorder="1"/>
    <xf numFmtId="0" fontId="10" fillId="0" borderId="1" xfId="0" applyFont="1" applyBorder="1" applyAlignment="1">
      <alignment horizontal="center"/>
    </xf>
    <xf numFmtId="0" fontId="10" fillId="0" borderId="20" xfId="0" applyFont="1" applyBorder="1" applyAlignment="1">
      <alignment horizontal="center"/>
    </xf>
    <xf numFmtId="0" fontId="0" fillId="0" borderId="0" xfId="0" applyAlignment="1">
      <alignment horizontal="center"/>
    </xf>
    <xf numFmtId="0" fontId="5" fillId="0" borderId="0" xfId="0" applyFont="1" applyFill="1" applyBorder="1" applyAlignment="1">
      <alignment horizontal="center"/>
    </xf>
    <xf numFmtId="0" fontId="14" fillId="0" borderId="1" xfId="0" applyFont="1" applyBorder="1"/>
    <xf numFmtId="0" fontId="15" fillId="0" borderId="1" xfId="0" applyFont="1" applyBorder="1"/>
    <xf numFmtId="0" fontId="0" fillId="0" borderId="1" xfId="0" applyFill="1" applyBorder="1"/>
    <xf numFmtId="0" fontId="0" fillId="0" borderId="24" xfId="0" applyBorder="1"/>
    <xf numFmtId="0" fontId="4" fillId="0" borderId="25" xfId="0" applyFont="1" applyBorder="1" applyAlignment="1">
      <alignment horizontal="center"/>
    </xf>
    <xf numFmtId="0" fontId="4" fillId="0" borderId="26" xfId="0" applyFont="1" applyBorder="1" applyAlignment="1">
      <alignment horizontal="center"/>
    </xf>
    <xf numFmtId="0" fontId="1" fillId="0" borderId="27" xfId="0" applyFont="1" applyFill="1" applyBorder="1" applyAlignment="1">
      <alignment horizontal="center"/>
    </xf>
    <xf numFmtId="0" fontId="1" fillId="0" borderId="28" xfId="0" applyFont="1" applyBorder="1" applyAlignment="1">
      <alignment horizontal="center"/>
    </xf>
    <xf numFmtId="0" fontId="0" fillId="0" borderId="29" xfId="0" applyBorder="1"/>
    <xf numFmtId="0" fontId="0" fillId="0" borderId="22" xfId="0" applyBorder="1"/>
    <xf numFmtId="0" fontId="1" fillId="0" borderId="22" xfId="0" applyFont="1" applyBorder="1"/>
    <xf numFmtId="0" fontId="0" fillId="0" borderId="23" xfId="0" applyBorder="1"/>
    <xf numFmtId="0" fontId="0" fillId="0" borderId="10" xfId="0" applyBorder="1" applyAlignment="1">
      <alignment horizontal="center"/>
    </xf>
    <xf numFmtId="0" fontId="16" fillId="0" borderId="30" xfId="0" applyFont="1" applyBorder="1" applyAlignment="1">
      <alignment wrapText="1"/>
    </xf>
    <xf numFmtId="0" fontId="16" fillId="0" borderId="30" xfId="0" applyFont="1" applyBorder="1" applyAlignment="1">
      <alignment horizontal="center" vertical="center"/>
    </xf>
    <xf numFmtId="0" fontId="16" fillId="0" borderId="30" xfId="0" applyFont="1" applyBorder="1" applyAlignment="1"/>
    <xf numFmtId="165" fontId="16" fillId="3" borderId="30" xfId="0" applyNumberFormat="1" applyFont="1" applyFill="1" applyBorder="1" applyAlignment="1">
      <alignment horizontal="center" vertical="center"/>
    </xf>
    <xf numFmtId="165" fontId="16" fillId="0" borderId="30" xfId="0" applyNumberFormat="1" applyFont="1" applyBorder="1" applyAlignment="1">
      <alignment horizontal="center" vertical="center"/>
    </xf>
    <xf numFmtId="0" fontId="16" fillId="4" borderId="30" xfId="0" applyFont="1" applyFill="1" applyBorder="1" applyAlignment="1">
      <alignment horizontal="center" vertical="center"/>
    </xf>
    <xf numFmtId="0" fontId="16" fillId="4" borderId="30" xfId="0" applyFont="1" applyFill="1" applyBorder="1"/>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xf numFmtId="2" fontId="3" fillId="6" borderId="11" xfId="0" applyNumberFormat="1" applyFont="1" applyFill="1" applyBorder="1" applyAlignment="1">
      <alignment horizontal="center"/>
    </xf>
    <xf numFmtId="0" fontId="0" fillId="0" borderId="1" xfId="0" applyBorder="1" applyAlignment="1">
      <alignment horizontal="right"/>
    </xf>
    <xf numFmtId="0" fontId="19" fillId="0" borderId="30" xfId="0" applyFont="1" applyBorder="1" applyAlignment="1">
      <alignment wrapText="1"/>
    </xf>
    <xf numFmtId="0" fontId="17" fillId="2" borderId="32" xfId="1" applyFill="1" applyBorder="1"/>
    <xf numFmtId="0" fontId="0" fillId="8" borderId="1" xfId="0" applyFill="1" applyBorder="1"/>
    <xf numFmtId="0" fontId="20" fillId="0" borderId="2" xfId="0" applyFont="1" applyBorder="1" applyAlignment="1">
      <alignment horizontal="center"/>
    </xf>
    <xf numFmtId="0" fontId="0" fillId="0" borderId="10" xfId="0" applyBorder="1" applyAlignment="1">
      <alignment horizontal="center"/>
    </xf>
    <xf numFmtId="0" fontId="0" fillId="0" borderId="0" xfId="0" applyFill="1" applyBorder="1" applyAlignment="1">
      <alignment horizontal="center"/>
    </xf>
    <xf numFmtId="0" fontId="0" fillId="0" borderId="30" xfId="0" applyBorder="1" applyAlignment="1">
      <alignment wrapText="1"/>
    </xf>
    <xf numFmtId="0" fontId="22" fillId="0" borderId="30" xfId="0" applyFont="1" applyBorder="1" applyAlignment="1">
      <alignment wrapText="1"/>
    </xf>
    <xf numFmtId="0" fontId="22" fillId="0" borderId="30" xfId="0" applyFont="1" applyBorder="1" applyAlignment="1">
      <alignment horizontal="center" wrapText="1"/>
    </xf>
    <xf numFmtId="4" fontId="23" fillId="0" borderId="30" xfId="0" applyNumberFormat="1" applyFont="1" applyBorder="1" applyAlignment="1">
      <alignment horizontal="center" wrapText="1"/>
    </xf>
    <xf numFmtId="0" fontId="22" fillId="0" borderId="34" xfId="0" applyFont="1" applyBorder="1" applyAlignment="1">
      <alignment horizontal="center" wrapText="1"/>
    </xf>
    <xf numFmtId="0" fontId="22" fillId="0" borderId="36" xfId="0" applyFont="1" applyBorder="1" applyAlignment="1">
      <alignment horizontal="center" wrapText="1"/>
    </xf>
    <xf numFmtId="0" fontId="22" fillId="0" borderId="37" xfId="0" applyFont="1" applyBorder="1" applyAlignment="1">
      <alignment horizontal="center" wrapText="1"/>
    </xf>
    <xf numFmtId="0" fontId="23" fillId="0" borderId="0" xfId="0" applyFont="1" applyAlignment="1">
      <alignment horizontal="center" vertical="center"/>
    </xf>
    <xf numFmtId="0" fontId="0" fillId="0" borderId="0" xfId="0" applyAlignment="1">
      <alignment horizontal="left" vertical="center"/>
    </xf>
    <xf numFmtId="0" fontId="24" fillId="0" borderId="0" xfId="0" applyFont="1" applyAlignment="1">
      <alignment horizontal="left" vertical="center"/>
    </xf>
    <xf numFmtId="0" fontId="0" fillId="0" borderId="0" xfId="0" applyFill="1"/>
    <xf numFmtId="0" fontId="25" fillId="0" borderId="0" xfId="0" applyFont="1" applyAlignment="1">
      <alignment horizontal="center" vertical="center"/>
    </xf>
    <xf numFmtId="0" fontId="26" fillId="0" borderId="36" xfId="0" applyFont="1" applyFill="1" applyBorder="1" applyAlignment="1">
      <alignment horizontal="center" wrapText="1"/>
    </xf>
    <xf numFmtId="0" fontId="27" fillId="0" borderId="0" xfId="0" applyFont="1"/>
    <xf numFmtId="0" fontId="16" fillId="0" borderId="0" xfId="0" applyFont="1" applyFill="1" applyBorder="1" applyAlignment="1">
      <alignment horizontal="center" vertical="center"/>
    </xf>
    <xf numFmtId="0" fontId="16" fillId="0" borderId="0" xfId="0" applyFont="1" applyFill="1" applyBorder="1"/>
    <xf numFmtId="2" fontId="3" fillId="9" borderId="11" xfId="0" applyNumberFormat="1" applyFont="1" applyFill="1" applyBorder="1" applyAlignment="1">
      <alignment horizontal="center"/>
    </xf>
    <xf numFmtId="0" fontId="0" fillId="0" borderId="0" xfId="0" applyAlignment="1">
      <alignment horizontal="center" vertical="center" wrapText="1"/>
    </xf>
    <xf numFmtId="0" fontId="28" fillId="0" borderId="0" xfId="0" applyFont="1"/>
    <xf numFmtId="0" fontId="29" fillId="0" borderId="0" xfId="0" applyFont="1"/>
    <xf numFmtId="0" fontId="30" fillId="0" borderId="0" xfId="0" applyFont="1"/>
    <xf numFmtId="0" fontId="31" fillId="0" borderId="0" xfId="0" applyFont="1" applyAlignment="1">
      <alignment horizontal="left"/>
    </xf>
    <xf numFmtId="0" fontId="31" fillId="0" borderId="0" xfId="0" applyFont="1"/>
    <xf numFmtId="0" fontId="32" fillId="0" borderId="0" xfId="0" applyFont="1"/>
    <xf numFmtId="0" fontId="33" fillId="0" borderId="0" xfId="0" applyFont="1"/>
    <xf numFmtId="0" fontId="35" fillId="0" borderId="0" xfId="0" applyFont="1"/>
    <xf numFmtId="0" fontId="32" fillId="2" borderId="0" xfId="0" applyFont="1" applyFill="1"/>
    <xf numFmtId="0" fontId="32" fillId="0" borderId="39" xfId="0" applyFont="1" applyBorder="1"/>
    <xf numFmtId="0" fontId="32" fillId="10" borderId="0" xfId="0" applyFont="1" applyFill="1"/>
    <xf numFmtId="49" fontId="32" fillId="10" borderId="0" xfId="0" applyNumberFormat="1" applyFont="1" applyFill="1"/>
    <xf numFmtId="0" fontId="36" fillId="0" borderId="0" xfId="0" applyFont="1"/>
    <xf numFmtId="0" fontId="19" fillId="0" borderId="0" xfId="0" quotePrefix="1" applyFont="1"/>
    <xf numFmtId="0" fontId="37" fillId="0" borderId="0" xfId="0" applyFont="1"/>
    <xf numFmtId="0" fontId="38" fillId="0" borderId="0" xfId="0" applyFont="1"/>
    <xf numFmtId="4" fontId="0" fillId="0" borderId="0" xfId="0" applyNumberFormat="1"/>
    <xf numFmtId="0" fontId="39" fillId="0" borderId="0" xfId="0" applyFont="1"/>
    <xf numFmtId="0" fontId="0" fillId="0" borderId="0" xfId="0" quotePrefix="1"/>
    <xf numFmtId="4" fontId="39" fillId="0" borderId="0" xfId="0" applyNumberFormat="1" applyFont="1"/>
    <xf numFmtId="0" fontId="0" fillId="0" borderId="0" xfId="0" quotePrefix="1" applyAlignment="1"/>
    <xf numFmtId="0" fontId="0" fillId="0" borderId="0" xfId="0" applyAlignment="1"/>
    <xf numFmtId="0" fontId="0" fillId="0" borderId="0" xfId="0" quotePrefix="1" applyFill="1" applyAlignment="1"/>
    <xf numFmtId="0" fontId="0" fillId="0" borderId="0" xfId="0" applyNumberFormat="1"/>
    <xf numFmtId="4" fontId="0" fillId="0" borderId="0" xfId="0" applyNumberFormat="1" applyAlignment="1">
      <alignment horizontal="left"/>
    </xf>
    <xf numFmtId="0" fontId="0" fillId="0" borderId="0" xfId="0" applyAlignment="1">
      <alignment horizontal="left"/>
    </xf>
    <xf numFmtId="0" fontId="40" fillId="0" borderId="0" xfId="0" applyFont="1" applyAlignment="1">
      <alignment horizontal="left"/>
    </xf>
    <xf numFmtId="0" fontId="0" fillId="0" borderId="14" xfId="0" applyBorder="1" applyAlignment="1">
      <alignment horizontal="left"/>
    </xf>
    <xf numFmtId="0" fontId="0" fillId="0" borderId="45" xfId="0" applyBorder="1" applyAlignment="1">
      <alignment horizontal="left"/>
    </xf>
    <xf numFmtId="0" fontId="0" fillId="0" borderId="50" xfId="0" applyBorder="1" applyAlignment="1">
      <alignment horizontal="left"/>
    </xf>
    <xf numFmtId="0" fontId="0" fillId="0" borderId="17" xfId="0" applyBorder="1" applyAlignment="1">
      <alignment horizontal="left"/>
    </xf>
    <xf numFmtId="0" fontId="46" fillId="0" borderId="0" xfId="0" applyFont="1"/>
    <xf numFmtId="0" fontId="46" fillId="0" borderId="0" xfId="0" applyFont="1" applyAlignment="1">
      <alignment horizontal="left"/>
    </xf>
    <xf numFmtId="0" fontId="45" fillId="0" borderId="0" xfId="0" applyNumberFormat="1" applyFont="1" applyAlignment="1">
      <alignment horizontal="right" vertical="top"/>
    </xf>
    <xf numFmtId="0" fontId="45" fillId="0" borderId="0" xfId="0" applyNumberFormat="1" applyFont="1" applyAlignment="1">
      <alignment vertical="top"/>
    </xf>
    <xf numFmtId="0" fontId="46" fillId="0" borderId="16" xfId="0" applyFont="1" applyBorder="1" applyAlignment="1">
      <alignment horizontal="left"/>
    </xf>
    <xf numFmtId="0" fontId="45" fillId="0" borderId="0" xfId="0" applyFont="1" applyAlignment="1">
      <alignment horizontal="left"/>
    </xf>
    <xf numFmtId="0" fontId="46" fillId="0" borderId="39" xfId="0" applyFont="1" applyBorder="1" applyAlignment="1">
      <alignment horizontal="left"/>
    </xf>
    <xf numFmtId="0" fontId="32" fillId="0" borderId="0" xfId="0" applyFont="1" applyAlignment="1">
      <alignment vertical="center"/>
    </xf>
    <xf numFmtId="0" fontId="32" fillId="0" borderId="0" xfId="0" applyFont="1" applyFill="1"/>
    <xf numFmtId="49" fontId="32" fillId="0" borderId="0" xfId="0" applyNumberFormat="1" applyFont="1"/>
    <xf numFmtId="0" fontId="3" fillId="0" borderId="14" xfId="0" applyFont="1" applyBorder="1" applyAlignment="1">
      <alignment horizontal="center"/>
    </xf>
    <xf numFmtId="0" fontId="0" fillId="0" borderId="13" xfId="0" applyBorder="1" applyAlignment="1">
      <alignment horizontal="left"/>
    </xf>
    <xf numFmtId="0" fontId="0" fillId="2" borderId="0" xfId="0" applyFill="1"/>
    <xf numFmtId="0" fontId="24" fillId="2" borderId="1" xfId="0" applyFont="1" applyFill="1" applyBorder="1" applyAlignment="1">
      <alignment horizontal="center" vertical="center"/>
    </xf>
    <xf numFmtId="0" fontId="0" fillId="2" borderId="0" xfId="0" applyFill="1" applyAlignment="1">
      <alignment horizontal="center" vertical="center"/>
    </xf>
    <xf numFmtId="0" fontId="6" fillId="0" borderId="17" xfId="0" applyFont="1" applyBorder="1" applyAlignment="1">
      <alignment horizontal="center" vertical="center"/>
    </xf>
    <xf numFmtId="0" fontId="6" fillId="0" borderId="16" xfId="0" applyFont="1" applyBorder="1" applyAlignment="1">
      <alignment horizontal="right"/>
    </xf>
    <xf numFmtId="0" fontId="48" fillId="0" borderId="0" xfId="0" applyFont="1"/>
    <xf numFmtId="0" fontId="32" fillId="0" borderId="0" xfId="0" applyFont="1" applyAlignment="1">
      <alignment vertical="center" wrapText="1"/>
    </xf>
    <xf numFmtId="0" fontId="6" fillId="0" borderId="0" xfId="0" applyFont="1"/>
    <xf numFmtId="0" fontId="6" fillId="0" borderId="1" xfId="0" applyFont="1" applyBorder="1"/>
    <xf numFmtId="0" fontId="30" fillId="2" borderId="0" xfId="0" applyFont="1" applyFill="1"/>
    <xf numFmtId="0" fontId="33" fillId="2" borderId="0" xfId="0" applyFont="1" applyFill="1"/>
    <xf numFmtId="0" fontId="6" fillId="0" borderId="0" xfId="0" applyFont="1" applyFill="1" applyBorder="1"/>
    <xf numFmtId="168" fontId="0" fillId="0" borderId="1" xfId="0" applyNumberFormat="1" applyBorder="1"/>
    <xf numFmtId="168" fontId="1" fillId="0" borderId="0" xfId="0" applyNumberFormat="1" applyFont="1"/>
    <xf numFmtId="168" fontId="8" fillId="0" borderId="0" xfId="0" applyNumberFormat="1" applyFont="1"/>
    <xf numFmtId="0" fontId="0" fillId="0" borderId="0" xfId="0" applyFill="1" applyBorder="1" applyAlignment="1">
      <alignment horizontal="right"/>
    </xf>
    <xf numFmtId="0" fontId="0" fillId="0" borderId="0" xfId="0" applyAlignment="1">
      <alignment horizontal="center" vertical="center"/>
    </xf>
    <xf numFmtId="0" fontId="33" fillId="0" borderId="0" xfId="0" applyNumberFormat="1" applyFont="1" applyAlignment="1">
      <alignment horizontal="justify" vertical="top"/>
    </xf>
    <xf numFmtId="0" fontId="0" fillId="0" borderId="60" xfId="0" applyBorder="1" applyAlignment="1">
      <alignment horizontal="center" vertical="center"/>
    </xf>
    <xf numFmtId="0" fontId="0" fillId="11" borderId="61" xfId="0" applyFill="1" applyBorder="1" applyAlignment="1">
      <alignment horizontal="center" vertical="center"/>
    </xf>
    <xf numFmtId="0" fontId="1" fillId="0" borderId="27" xfId="0" applyFont="1" applyBorder="1"/>
    <xf numFmtId="0" fontId="24" fillId="0" borderId="29" xfId="0" applyFont="1" applyBorder="1" applyAlignment="1">
      <alignment horizontal="center" vertical="center"/>
    </xf>
    <xf numFmtId="0" fontId="1" fillId="0" borderId="19" xfId="0" applyFont="1" applyBorder="1"/>
    <xf numFmtId="0" fontId="24" fillId="0" borderId="20" xfId="0" applyFont="1" applyBorder="1" applyAlignment="1">
      <alignment horizontal="center" vertical="center"/>
    </xf>
    <xf numFmtId="0" fontId="1" fillId="0" borderId="21" xfId="0" applyFont="1" applyBorder="1"/>
    <xf numFmtId="0" fontId="24" fillId="0" borderId="23" xfId="0" applyFont="1" applyBorder="1" applyAlignment="1">
      <alignment horizontal="center" vertical="center"/>
    </xf>
    <xf numFmtId="0" fontId="24" fillId="0" borderId="62" xfId="0" applyFont="1" applyBorder="1" applyAlignment="1">
      <alignment horizontal="center" vertical="center"/>
    </xf>
    <xf numFmtId="0" fontId="24" fillId="0" borderId="63" xfId="0" applyFont="1" applyBorder="1" applyAlignment="1">
      <alignment horizontal="center" vertical="center"/>
    </xf>
    <xf numFmtId="0" fontId="24" fillId="0" borderId="64" xfId="0" applyFont="1" applyBorder="1" applyAlignment="1">
      <alignment horizontal="center" vertical="center"/>
    </xf>
    <xf numFmtId="0" fontId="5" fillId="0" borderId="0" xfId="0" applyFont="1"/>
    <xf numFmtId="0" fontId="30" fillId="0" borderId="0" xfId="0" applyFont="1" applyBorder="1" applyAlignment="1"/>
    <xf numFmtId="0" fontId="32" fillId="0" borderId="0" xfId="0" applyFont="1" applyBorder="1" applyAlignment="1"/>
    <xf numFmtId="0" fontId="49" fillId="0" borderId="0" xfId="0" applyFont="1"/>
    <xf numFmtId="0" fontId="50" fillId="0" borderId="0" xfId="0" applyFont="1"/>
    <xf numFmtId="0" fontId="14" fillId="0" borderId="0" xfId="0" applyFont="1"/>
    <xf numFmtId="0" fontId="51" fillId="0" borderId="0" xfId="0" applyFont="1"/>
    <xf numFmtId="0" fontId="16" fillId="0" borderId="38" xfId="0" applyFont="1" applyBorder="1" applyAlignment="1">
      <alignment horizontal="center" vertical="center"/>
    </xf>
    <xf numFmtId="0" fontId="16" fillId="0" borderId="66" xfId="0" applyNumberFormat="1" applyFont="1" applyFill="1" applyBorder="1" applyAlignment="1">
      <alignment horizontal="center" vertical="center"/>
    </xf>
    <xf numFmtId="0" fontId="16" fillId="0" borderId="1" xfId="0" applyFont="1" applyBorder="1" applyAlignment="1">
      <alignment horizontal="center" vertical="center"/>
    </xf>
    <xf numFmtId="0" fontId="16" fillId="0" borderId="33" xfId="0" applyFont="1" applyBorder="1" applyAlignment="1">
      <alignment wrapText="1"/>
    </xf>
    <xf numFmtId="0" fontId="16" fillId="0" borderId="33" xfId="0" applyFont="1" applyBorder="1" applyAlignment="1">
      <alignment horizontal="center" vertical="center"/>
    </xf>
    <xf numFmtId="0" fontId="16" fillId="0" borderId="67" xfId="0" applyFont="1" applyBorder="1" applyAlignment="1">
      <alignment horizontal="center" vertical="center"/>
    </xf>
    <xf numFmtId="0" fontId="0" fillId="0" borderId="1" xfId="0" applyBorder="1" applyAlignment="1">
      <alignment horizontal="center" vertical="center" wrapText="1"/>
    </xf>
    <xf numFmtId="0" fontId="16" fillId="0" borderId="56" xfId="0" applyFont="1" applyFill="1" applyBorder="1" applyAlignment="1">
      <alignment horizontal="center" vertical="center"/>
    </xf>
    <xf numFmtId="0" fontId="16"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19" fillId="0" borderId="30" xfId="0" applyFont="1" applyBorder="1" applyAlignment="1">
      <alignment horizontal="center" vertical="center" wrapText="1"/>
    </xf>
    <xf numFmtId="0" fontId="1" fillId="0" borderId="1" xfId="0" applyFont="1" applyBorder="1" applyAlignment="1">
      <alignment horizontal="center" vertical="center"/>
    </xf>
    <xf numFmtId="0" fontId="39" fillId="0" borderId="35" xfId="0" applyFont="1" applyBorder="1" applyAlignment="1">
      <alignment horizontal="center" vertical="center"/>
    </xf>
    <xf numFmtId="0" fontId="39" fillId="0" borderId="30" xfId="0" applyFont="1" applyBorder="1" applyAlignment="1">
      <alignment horizontal="center" vertical="center"/>
    </xf>
    <xf numFmtId="0" fontId="39" fillId="0" borderId="68" xfId="0" applyFont="1" applyBorder="1" applyAlignment="1">
      <alignment horizontal="center" vertical="center"/>
    </xf>
    <xf numFmtId="0" fontId="39" fillId="0" borderId="38" xfId="0" applyFont="1" applyBorder="1" applyAlignment="1">
      <alignment horizontal="center" vertical="center"/>
    </xf>
    <xf numFmtId="0" fontId="39" fillId="0" borderId="55" xfId="0" applyNumberFormat="1" applyFont="1" applyFill="1" applyBorder="1" applyAlignment="1">
      <alignment horizontal="center" vertical="center"/>
    </xf>
    <xf numFmtId="0" fontId="39" fillId="0" borderId="1" xfId="0" applyNumberFormat="1" applyFont="1" applyFill="1" applyBorder="1" applyAlignment="1">
      <alignment horizontal="center" vertical="center"/>
    </xf>
    <xf numFmtId="0" fontId="53" fillId="0" borderId="0" xfId="0" applyFont="1" applyAlignment="1">
      <alignment horizontal="center" vertical="center"/>
    </xf>
    <xf numFmtId="0" fontId="52" fillId="0" borderId="34" xfId="0" applyFont="1" applyFill="1" applyBorder="1" applyAlignment="1">
      <alignment horizontal="center" wrapText="1"/>
    </xf>
    <xf numFmtId="0" fontId="52" fillId="0" borderId="37" xfId="0" applyFont="1" applyFill="1" applyBorder="1" applyAlignment="1">
      <alignment horizontal="center" wrapText="1"/>
    </xf>
    <xf numFmtId="0" fontId="0" fillId="0" borderId="0" xfId="0" applyFill="1" applyAlignment="1">
      <alignment horizontal="right"/>
    </xf>
    <xf numFmtId="0" fontId="1" fillId="2" borderId="25" xfId="0" applyFont="1" applyFill="1" applyBorder="1" applyAlignment="1">
      <alignment horizontal="center" vertical="center"/>
    </xf>
    <xf numFmtId="0" fontId="23" fillId="2" borderId="42" xfId="0" applyFont="1" applyFill="1" applyBorder="1" applyAlignment="1">
      <alignment horizontal="center" vertical="center"/>
    </xf>
    <xf numFmtId="0" fontId="32" fillId="0" borderId="0" xfId="0" applyFont="1" applyBorder="1"/>
    <xf numFmtId="0" fontId="1" fillId="2" borderId="1" xfId="0" applyFont="1" applyFill="1" applyBorder="1" applyAlignment="1">
      <alignment horizontal="center" vertical="center"/>
    </xf>
    <xf numFmtId="0" fontId="32" fillId="0" borderId="0" xfId="0" applyFont="1" applyAlignment="1">
      <alignment horizontal="right"/>
    </xf>
    <xf numFmtId="0" fontId="32" fillId="0" borderId="0" xfId="0" applyFont="1" applyAlignment="1">
      <alignment horizontal="right" vertical="center"/>
    </xf>
    <xf numFmtId="166" fontId="32" fillId="0" borderId="0" xfId="0" applyNumberFormat="1" applyFont="1" applyAlignment="1">
      <alignment horizontal="center" vertical="center"/>
    </xf>
    <xf numFmtId="169" fontId="32" fillId="0" borderId="0" xfId="0" applyNumberFormat="1" applyFont="1"/>
    <xf numFmtId="169" fontId="29" fillId="0" borderId="0" xfId="0" applyNumberFormat="1" applyFont="1"/>
    <xf numFmtId="9" fontId="0" fillId="0" borderId="0" xfId="0" applyNumberFormat="1"/>
    <xf numFmtId="0" fontId="1" fillId="0" borderId="69" xfId="0" applyFont="1" applyFill="1" applyBorder="1" applyAlignment="1">
      <alignment horizontal="center"/>
    </xf>
    <xf numFmtId="0" fontId="56"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0" fontId="0" fillId="2" borderId="1" xfId="0" applyFill="1" applyBorder="1" applyAlignment="1">
      <alignment horizontal="center" vertical="center"/>
    </xf>
    <xf numFmtId="164" fontId="0" fillId="0" borderId="0" xfId="0" applyNumberFormat="1"/>
    <xf numFmtId="164" fontId="1" fillId="0" borderId="0" xfId="0" applyNumberFormat="1" applyFont="1"/>
    <xf numFmtId="0" fontId="7" fillId="0" borderId="14" xfId="0" applyFont="1" applyBorder="1" applyAlignment="1">
      <alignment horizontal="left"/>
    </xf>
    <xf numFmtId="0" fontId="32" fillId="0" borderId="0" xfId="0" applyFont="1" applyAlignment="1">
      <alignment horizontal="center" vertical="center"/>
    </xf>
    <xf numFmtId="0" fontId="32" fillId="0" borderId="0" xfId="0" applyFont="1" applyAlignment="1">
      <alignment horizontal="right" vertical="top"/>
    </xf>
    <xf numFmtId="0" fontId="16" fillId="0" borderId="30" xfId="0" applyFont="1" applyBorder="1" applyAlignment="1">
      <alignment horizontal="center"/>
    </xf>
    <xf numFmtId="0" fontId="0" fillId="0" borderId="0" xfId="0" applyAlignment="1">
      <alignment horizontal="center"/>
    </xf>
    <xf numFmtId="0" fontId="57" fillId="0" borderId="1" xfId="0" applyFont="1" applyBorder="1"/>
    <xf numFmtId="0" fontId="58" fillId="0" borderId="0" xfId="0" applyFont="1" applyFill="1" applyBorder="1" applyAlignment="1">
      <alignment horizontal="right" vertical="center"/>
    </xf>
    <xf numFmtId="0" fontId="58" fillId="0" borderId="0" xfId="0" applyFont="1" applyAlignment="1">
      <alignment horizontal="center" vertical="center"/>
    </xf>
    <xf numFmtId="0" fontId="32" fillId="0" borderId="0" xfId="0" applyFont="1" applyAlignment="1">
      <alignment horizontal="justify" vertical="top"/>
    </xf>
    <xf numFmtId="0" fontId="30" fillId="0" borderId="0" xfId="0" applyFont="1" applyAlignment="1">
      <alignment wrapText="1"/>
    </xf>
    <xf numFmtId="0" fontId="30" fillId="0" borderId="0" xfId="0" applyFont="1" applyAlignment="1">
      <alignment horizontal="center" wrapText="1"/>
    </xf>
    <xf numFmtId="0" fontId="32" fillId="0" borderId="0" xfId="0" applyFont="1" applyAlignment="1">
      <alignment horizontal="left" vertical="top"/>
    </xf>
    <xf numFmtId="0" fontId="61" fillId="0" borderId="0" xfId="0" applyFont="1" applyAlignment="1">
      <alignment vertical="top" wrapText="1"/>
    </xf>
    <xf numFmtId="0" fontId="60" fillId="0" borderId="0" xfId="0" applyFont="1"/>
    <xf numFmtId="0" fontId="60" fillId="0" borderId="0" xfId="0" applyFont="1" applyAlignment="1">
      <alignment horizontal="left" vertical="top"/>
    </xf>
    <xf numFmtId="0" fontId="60" fillId="0" borderId="0" xfId="0" applyFont="1" applyAlignment="1">
      <alignment horizontal="left" vertical="top" wrapText="1"/>
    </xf>
    <xf numFmtId="0" fontId="60" fillId="0" borderId="0" xfId="0" applyFont="1" applyAlignment="1">
      <alignment vertical="top" wrapText="1"/>
    </xf>
    <xf numFmtId="0" fontId="60" fillId="0" borderId="59" xfId="0" applyFont="1" applyFill="1" applyBorder="1" applyAlignment="1"/>
    <xf numFmtId="0" fontId="32" fillId="0" borderId="59" xfId="0" applyFont="1" applyBorder="1"/>
    <xf numFmtId="166" fontId="61" fillId="0" borderId="59" xfId="0" applyNumberFormat="1" applyFont="1" applyFill="1" applyBorder="1" applyAlignment="1"/>
    <xf numFmtId="0" fontId="60" fillId="0" borderId="0" xfId="0" applyFont="1" applyAlignment="1">
      <alignment horizontal="justify" vertical="top" wrapText="1"/>
    </xf>
    <xf numFmtId="0" fontId="59" fillId="0" borderId="0" xfId="0" applyFont="1" applyAlignment="1">
      <alignment horizontal="justify" vertical="top" wrapText="1"/>
    </xf>
    <xf numFmtId="0" fontId="59" fillId="0" borderId="0" xfId="0" applyFont="1" applyAlignment="1">
      <alignment horizontal="justify" vertical="top" wrapText="1"/>
    </xf>
    <xf numFmtId="0" fontId="60" fillId="0" borderId="0" xfId="0" applyFont="1" applyAlignment="1">
      <alignment horizontal="justify" vertical="top" wrapText="1"/>
    </xf>
    <xf numFmtId="0" fontId="30" fillId="0" borderId="0" xfId="0" applyFont="1" applyAlignment="1">
      <alignment horizontal="center" wrapText="1"/>
    </xf>
    <xf numFmtId="0" fontId="60" fillId="0" borderId="0" xfId="0" applyFont="1" applyAlignment="1">
      <alignment horizontal="left" vertical="top"/>
    </xf>
    <xf numFmtId="0" fontId="60" fillId="0" borderId="0" xfId="0" applyFont="1" applyAlignment="1">
      <alignment horizontal="left" vertical="top" wrapText="1"/>
    </xf>
    <xf numFmtId="0" fontId="32" fillId="0" borderId="0" xfId="0" applyFont="1" applyAlignment="1">
      <alignment horizontal="center"/>
    </xf>
    <xf numFmtId="0" fontId="33" fillId="2" borderId="0" xfId="0" applyFont="1" applyFill="1" applyAlignment="1">
      <alignment vertical="center"/>
    </xf>
    <xf numFmtId="0" fontId="32" fillId="2" borderId="0" xfId="0" applyFont="1" applyFill="1" applyAlignment="1">
      <alignment vertical="center"/>
    </xf>
    <xf numFmtId="0" fontId="60" fillId="0" borderId="0" xfId="0" applyFont="1" applyBorder="1" applyAlignment="1">
      <alignment horizontal="center"/>
    </xf>
    <xf numFmtId="0" fontId="59" fillId="0" borderId="0" xfId="0" applyFont="1" applyBorder="1" applyAlignment="1">
      <alignment horizontal="left"/>
    </xf>
    <xf numFmtId="166" fontId="30" fillId="0" borderId="0" xfId="0" applyNumberFormat="1" applyFont="1" applyFill="1" applyAlignment="1">
      <alignment horizontal="center" vertical="center"/>
    </xf>
    <xf numFmtId="0" fontId="32" fillId="0" borderId="0" xfId="0" applyFont="1" applyFill="1" applyAlignment="1">
      <alignment horizontal="right" vertical="center"/>
    </xf>
    <xf numFmtId="0" fontId="60" fillId="0" borderId="0" xfId="0" applyFont="1" applyBorder="1" applyAlignment="1">
      <alignment horizontal="center" vertical="center"/>
    </xf>
    <xf numFmtId="0" fontId="32" fillId="2" borderId="0" xfId="0" applyFont="1" applyFill="1" applyAlignment="1">
      <alignment horizontal="center" vertical="center"/>
    </xf>
    <xf numFmtId="170" fontId="63" fillId="0" borderId="0" xfId="0" applyNumberFormat="1" applyFont="1" applyAlignment="1">
      <alignment vertical="top"/>
    </xf>
    <xf numFmtId="0" fontId="16" fillId="0" borderId="1" xfId="0" applyFont="1" applyFill="1" applyBorder="1" applyAlignment="1">
      <alignment horizontal="center" vertical="center"/>
    </xf>
    <xf numFmtId="0" fontId="1" fillId="0" borderId="1" xfId="0" applyNumberFormat="1" applyFont="1" applyBorder="1" applyAlignment="1">
      <alignment horizontal="center" vertical="center"/>
    </xf>
    <xf numFmtId="0" fontId="64" fillId="0" borderId="35" xfId="0" applyNumberFormat="1" applyFont="1" applyBorder="1" applyAlignment="1">
      <alignment horizontal="center" vertical="center"/>
    </xf>
    <xf numFmtId="0" fontId="64" fillId="0" borderId="30" xfId="0" applyNumberFormat="1" applyFont="1" applyBorder="1" applyAlignment="1">
      <alignment horizontal="center" vertical="center"/>
    </xf>
    <xf numFmtId="0" fontId="64" fillId="0" borderId="68" xfId="0" applyNumberFormat="1" applyFont="1" applyBorder="1" applyAlignment="1">
      <alignment horizontal="center" vertical="center"/>
    </xf>
    <xf numFmtId="0" fontId="64" fillId="0" borderId="38" xfId="0" applyNumberFormat="1" applyFont="1" applyBorder="1" applyAlignment="1">
      <alignment horizontal="center" vertical="center"/>
    </xf>
    <xf numFmtId="0" fontId="64" fillId="0" borderId="55" xfId="0" applyNumberFormat="1" applyFont="1" applyFill="1" applyBorder="1" applyAlignment="1">
      <alignment horizontal="center" vertical="center"/>
    </xf>
    <xf numFmtId="0" fontId="64" fillId="0" borderId="1" xfId="0" applyNumberFormat="1" applyFont="1" applyFill="1" applyBorder="1" applyAlignment="1">
      <alignment horizontal="center" vertical="center"/>
    </xf>
    <xf numFmtId="0" fontId="0" fillId="0" borderId="0" xfId="0" applyAlignment="1">
      <alignment horizontal="right" vertical="center"/>
    </xf>
    <xf numFmtId="0" fontId="64" fillId="11" borderId="1" xfId="0" applyNumberFormat="1" applyFont="1" applyFill="1" applyBorder="1" applyAlignment="1">
      <alignment horizontal="center" vertical="center"/>
    </xf>
    <xf numFmtId="0" fontId="64" fillId="11" borderId="30" xfId="0" applyNumberFormat="1" applyFont="1" applyFill="1" applyBorder="1" applyAlignment="1">
      <alignment horizontal="center" vertical="center"/>
    </xf>
    <xf numFmtId="0" fontId="64" fillId="11" borderId="38" xfId="0" applyNumberFormat="1" applyFont="1" applyFill="1" applyBorder="1" applyAlignment="1">
      <alignment horizontal="center" vertical="center"/>
    </xf>
    <xf numFmtId="0" fontId="1" fillId="11" borderId="1" xfId="0" applyNumberFormat="1" applyFont="1" applyFill="1" applyBorder="1" applyAlignment="1">
      <alignment horizontal="center" vertical="center"/>
    </xf>
    <xf numFmtId="0" fontId="0" fillId="0" borderId="0" xfId="0" applyAlignment="1">
      <alignment horizontal="center" vertical="center"/>
    </xf>
    <xf numFmtId="0" fontId="0" fillId="2" borderId="1" xfId="0" applyFill="1" applyBorder="1"/>
    <xf numFmtId="0" fontId="0" fillId="2" borderId="1" xfId="0" applyFill="1" applyBorder="1" applyAlignment="1">
      <alignment horizontal="right"/>
    </xf>
    <xf numFmtId="0" fontId="1" fillId="0" borderId="11" xfId="0" applyFont="1" applyBorder="1" applyAlignment="1">
      <alignment horizontal="center"/>
    </xf>
    <xf numFmtId="0" fontId="0" fillId="2" borderId="1" xfId="0" applyFill="1" applyBorder="1" applyAlignment="1">
      <alignment horizontal="center"/>
    </xf>
    <xf numFmtId="0" fontId="1" fillId="12" borderId="0" xfId="0" applyFont="1" applyFill="1"/>
    <xf numFmtId="0" fontId="0" fillId="12" borderId="0" xfId="0" applyFill="1"/>
    <xf numFmtId="0" fontId="17" fillId="12" borderId="31" xfId="1" applyFill="1" applyAlignment="1">
      <alignment horizontal="right"/>
    </xf>
    <xf numFmtId="0" fontId="1" fillId="12" borderId="0" xfId="0" applyFont="1" applyFill="1" applyAlignment="1">
      <alignment horizontal="right"/>
    </xf>
    <xf numFmtId="0" fontId="5" fillId="2" borderId="1" xfId="0" applyFont="1" applyFill="1" applyBorder="1" applyAlignment="1">
      <alignment horizontal="center"/>
    </xf>
    <xf numFmtId="0" fontId="66" fillId="0" borderId="15" xfId="0" applyFont="1" applyBorder="1" applyAlignment="1">
      <alignment horizontal="center" vertical="center"/>
    </xf>
    <xf numFmtId="0" fontId="30" fillId="0" borderId="0" xfId="0" applyFont="1" applyFill="1"/>
    <xf numFmtId="169" fontId="33" fillId="0" borderId="0" xfId="0" applyNumberFormat="1" applyFont="1" applyFill="1" applyAlignment="1">
      <alignment horizontal="left" vertical="top"/>
    </xf>
    <xf numFmtId="0" fontId="32" fillId="0" borderId="0" xfId="0" applyFont="1" applyAlignment="1">
      <alignment horizontal="center"/>
    </xf>
    <xf numFmtId="0" fontId="0" fillId="0" borderId="0" xfId="0" applyAlignment="1">
      <alignment horizontal="center" vertical="center"/>
    </xf>
    <xf numFmtId="0" fontId="32" fillId="0" borderId="0" xfId="0" applyFont="1" applyAlignment="1">
      <alignment horizontal="left"/>
    </xf>
    <xf numFmtId="0" fontId="32" fillId="0" borderId="0" xfId="0" applyFont="1" applyFill="1" applyAlignment="1">
      <alignment horizontal="center" vertical="center"/>
    </xf>
    <xf numFmtId="0" fontId="56" fillId="13" borderId="0" xfId="0" applyFont="1" applyFill="1"/>
    <xf numFmtId="168" fontId="67" fillId="0" borderId="1" xfId="0" applyNumberFormat="1" applyFont="1" applyBorder="1"/>
    <xf numFmtId="49" fontId="32" fillId="0" borderId="0" xfId="0" applyNumberFormat="1" applyFont="1" applyAlignment="1"/>
    <xf numFmtId="0" fontId="32" fillId="2" borderId="1" xfId="0" applyFont="1" applyFill="1" applyBorder="1" applyAlignment="1">
      <alignment horizontal="center" vertical="center"/>
    </xf>
    <xf numFmtId="169" fontId="32" fillId="0" borderId="0" xfId="0" applyNumberFormat="1" applyFont="1" applyFill="1"/>
    <xf numFmtId="0" fontId="0" fillId="0" borderId="0" xfId="0" applyAlignment="1">
      <alignment horizontal="center" vertical="center"/>
    </xf>
    <xf numFmtId="171" fontId="68" fillId="0" borderId="0" xfId="0" applyNumberFormat="1" applyFont="1"/>
    <xf numFmtId="0" fontId="69" fillId="0" borderId="0" xfId="0" applyFont="1" applyAlignment="1">
      <alignment horizontal="right"/>
    </xf>
    <xf numFmtId="170" fontId="69" fillId="0" borderId="0" xfId="0" applyNumberFormat="1" applyFont="1" applyAlignment="1">
      <alignment horizontal="left"/>
    </xf>
    <xf numFmtId="0" fontId="59" fillId="0" borderId="0" xfId="0" applyFont="1" applyAlignment="1">
      <alignment horizontal="center" vertical="center"/>
    </xf>
    <xf numFmtId="0" fontId="60" fillId="0" borderId="0" xfId="0" applyFont="1" applyAlignment="1">
      <alignment horizontal="left" vertical="top"/>
    </xf>
    <xf numFmtId="170" fontId="32" fillId="2" borderId="0" xfId="0" applyNumberFormat="1" applyFont="1" applyFill="1" applyAlignment="1">
      <alignment horizontal="left"/>
    </xf>
    <xf numFmtId="0" fontId="0" fillId="0" borderId="0" xfId="0" applyAlignment="1">
      <alignment horizontal="center" vertical="center"/>
    </xf>
    <xf numFmtId="0" fontId="0" fillId="0" borderId="0" xfId="0" applyAlignment="1">
      <alignment horizontal="center"/>
    </xf>
    <xf numFmtId="14" fontId="0" fillId="2" borderId="0" xfId="0" applyNumberFormat="1" applyFill="1" applyAlignment="1">
      <alignment horizontal="center" vertical="center"/>
    </xf>
    <xf numFmtId="44" fontId="69" fillId="0" borderId="0" xfId="0" applyNumberFormat="1" applyFont="1" applyAlignment="1">
      <alignment horizontal="center" vertical="center"/>
    </xf>
    <xf numFmtId="44" fontId="0" fillId="0" borderId="0" xfId="0" applyNumberFormat="1"/>
    <xf numFmtId="44" fontId="3" fillId="0" borderId="0" xfId="0" applyNumberFormat="1" applyFont="1"/>
    <xf numFmtId="0" fontId="0" fillId="0" borderId="0" xfId="0" applyAlignment="1">
      <alignment vertical="center"/>
    </xf>
    <xf numFmtId="0" fontId="0" fillId="14" borderId="0" xfId="0" applyFill="1"/>
    <xf numFmtId="44" fontId="14" fillId="0" borderId="0" xfId="0" applyNumberFormat="1" applyFont="1" applyAlignment="1">
      <alignment horizontal="left"/>
    </xf>
    <xf numFmtId="14" fontId="0" fillId="2" borderId="1" xfId="0" applyNumberFormat="1" applyFill="1" applyBorder="1"/>
    <xf numFmtId="0" fontId="0" fillId="10" borderId="1" xfId="0" applyFill="1" applyBorder="1" applyAlignment="1">
      <alignment horizontal="right"/>
    </xf>
    <xf numFmtId="0" fontId="1" fillId="10" borderId="1" xfId="0" applyFont="1" applyFill="1" applyBorder="1" applyAlignment="1">
      <alignment horizontal="center" vertical="center"/>
    </xf>
    <xf numFmtId="14" fontId="1" fillId="0" borderId="0" xfId="0" applyNumberFormat="1" applyFont="1" applyAlignment="1">
      <alignment horizontal="center" vertical="center"/>
    </xf>
    <xf numFmtId="0" fontId="71" fillId="0" borderId="70" xfId="0" applyFont="1" applyFill="1" applyBorder="1" applyAlignment="1">
      <alignment horizontal="right"/>
    </xf>
    <xf numFmtId="0" fontId="71" fillId="0" borderId="0" xfId="0" applyFont="1"/>
    <xf numFmtId="0" fontId="72" fillId="0" borderId="14" xfId="0" applyFont="1" applyBorder="1" applyAlignment="1">
      <alignment horizontal="left"/>
    </xf>
    <xf numFmtId="0" fontId="74" fillId="0" borderId="0" xfId="0" applyFont="1"/>
    <xf numFmtId="49" fontId="0" fillId="0" borderId="0" xfId="0" applyNumberFormat="1" applyAlignment="1">
      <alignment horizontal="left"/>
    </xf>
    <xf numFmtId="49" fontId="0" fillId="0" borderId="0" xfId="0" applyNumberFormat="1"/>
    <xf numFmtId="0" fontId="75" fillId="15" borderId="0" xfId="0" applyFont="1" applyFill="1" applyAlignment="1">
      <alignment horizontal="center" vertical="center"/>
    </xf>
    <xf numFmtId="0" fontId="32" fillId="10" borderId="0" xfId="0" applyFont="1" applyFill="1" applyAlignment="1">
      <alignment horizontal="center" vertical="center"/>
    </xf>
    <xf numFmtId="0" fontId="32" fillId="0" borderId="0" xfId="0" applyFont="1" applyAlignment="1">
      <alignment horizontal="left" vertical="center"/>
    </xf>
    <xf numFmtId="0" fontId="1" fillId="0" borderId="0" xfId="0" applyFont="1" applyAlignment="1">
      <alignment horizontal="left" vertical="center"/>
    </xf>
    <xf numFmtId="0" fontId="47" fillId="0" borderId="0" xfId="0" applyFont="1" applyAlignment="1">
      <alignment vertical="center" wrapText="1"/>
    </xf>
    <xf numFmtId="0" fontId="47" fillId="0" borderId="0" xfId="0" applyFont="1" applyAlignment="1">
      <alignment vertical="center"/>
    </xf>
    <xf numFmtId="0" fontId="47" fillId="0" borderId="0" xfId="0" applyFont="1" applyAlignment="1">
      <alignment vertical="top"/>
    </xf>
    <xf numFmtId="2" fontId="0" fillId="0" borderId="0" xfId="0" applyNumberFormat="1"/>
    <xf numFmtId="0" fontId="17" fillId="0" borderId="0" xfId="1" applyFont="1" applyFill="1" applyBorder="1" applyAlignment="1">
      <alignment horizontal="right"/>
    </xf>
    <xf numFmtId="0" fontId="0" fillId="16" borderId="0" xfId="0" applyFill="1"/>
    <xf numFmtId="0" fontId="0" fillId="0" borderId="0" xfId="0" applyFill="1" applyBorder="1" applyAlignment="1">
      <alignment horizontal="left"/>
    </xf>
    <xf numFmtId="0" fontId="14" fillId="16" borderId="0" xfId="0" applyFont="1" applyFill="1"/>
    <xf numFmtId="0" fontId="47" fillId="0" borderId="39" xfId="0" applyFont="1" applyBorder="1" applyAlignment="1">
      <alignment vertical="center"/>
    </xf>
    <xf numFmtId="0" fontId="47" fillId="0" borderId="39" xfId="0" applyFont="1" applyBorder="1" applyAlignment="1">
      <alignment vertical="center" wrapText="1"/>
    </xf>
    <xf numFmtId="0" fontId="35" fillId="0" borderId="39" xfId="0" applyFont="1" applyBorder="1"/>
    <xf numFmtId="0" fontId="47" fillId="0" borderId="39" xfId="0" applyFont="1" applyBorder="1" applyAlignment="1">
      <alignment vertical="top"/>
    </xf>
    <xf numFmtId="0" fontId="0" fillId="0" borderId="0" xfId="0" applyAlignment="1">
      <alignment horizontal="center" vertical="center"/>
    </xf>
    <xf numFmtId="0" fontId="60" fillId="0" borderId="39" xfId="0" applyFont="1" applyFill="1" applyBorder="1" applyAlignment="1"/>
    <xf numFmtId="166" fontId="61" fillId="0" borderId="39" xfId="0" applyNumberFormat="1" applyFont="1" applyFill="1" applyBorder="1" applyAlignment="1"/>
    <xf numFmtId="0" fontId="0" fillId="2" borderId="0" xfId="0" applyFill="1" applyAlignment="1">
      <alignment horizontal="center" vertical="center"/>
    </xf>
    <xf numFmtId="0" fontId="0" fillId="0" borderId="0" xfId="0" applyAlignment="1">
      <alignment horizontal="center" vertical="center"/>
    </xf>
    <xf numFmtId="2" fontId="0" fillId="0" borderId="8" xfId="0" applyNumberFormat="1" applyFont="1" applyBorder="1" applyAlignment="1">
      <alignment horizontal="center"/>
    </xf>
    <xf numFmtId="2" fontId="0" fillId="2" borderId="0" xfId="0" applyNumberFormat="1" applyFill="1" applyAlignment="1">
      <alignment horizontal="center" vertical="center"/>
    </xf>
    <xf numFmtId="0" fontId="64" fillId="2" borderId="19" xfId="0" applyFont="1" applyFill="1" applyBorder="1"/>
    <xf numFmtId="0" fontId="77" fillId="2" borderId="20" xfId="0" applyFont="1" applyFill="1" applyBorder="1" applyAlignment="1">
      <alignment horizontal="center" vertical="center"/>
    </xf>
    <xf numFmtId="0" fontId="14" fillId="2" borderId="0" xfId="0" applyFont="1" applyFill="1"/>
    <xf numFmtId="0" fontId="77" fillId="2" borderId="63" xfId="0" applyFont="1" applyFill="1" applyBorder="1" applyAlignment="1">
      <alignment horizontal="center" vertical="center"/>
    </xf>
    <xf numFmtId="0" fontId="3" fillId="0" borderId="0" xfId="0" applyFont="1"/>
    <xf numFmtId="0" fontId="3" fillId="0" borderId="0" xfId="0" applyFont="1" applyAlignment="1">
      <alignment horizontal="center" vertical="center"/>
    </xf>
    <xf numFmtId="0" fontId="0" fillId="0" borderId="0" xfId="0" applyAlignment="1">
      <alignment horizontal="center" vertical="center"/>
    </xf>
    <xf numFmtId="0" fontId="0" fillId="8" borderId="0" xfId="0" applyFill="1"/>
    <xf numFmtId="0" fontId="0" fillId="0" borderId="0" xfId="0" applyAlignment="1">
      <alignment horizontal="center" vertical="center"/>
    </xf>
    <xf numFmtId="0" fontId="0" fillId="0" borderId="0" xfId="0" applyAlignment="1">
      <alignment horizontal="center"/>
    </xf>
    <xf numFmtId="0" fontId="60" fillId="0" borderId="0" xfId="0" applyFont="1" applyAlignment="1">
      <alignment horizontal="justify" vertical="top" wrapText="1"/>
    </xf>
    <xf numFmtId="0" fontId="60" fillId="0" borderId="0" xfId="0" applyFont="1" applyAlignment="1">
      <alignment horizontal="center" vertical="top" wrapText="1"/>
    </xf>
    <xf numFmtId="0" fontId="59" fillId="0" borderId="0" xfId="0" applyFont="1"/>
    <xf numFmtId="0" fontId="63" fillId="0" borderId="0" xfId="0" applyFont="1"/>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xf>
    <xf numFmtId="0" fontId="32" fillId="0" borderId="44" xfId="0" applyFont="1" applyBorder="1"/>
    <xf numFmtId="0" fontId="30" fillId="2" borderId="54" xfId="0" applyFont="1" applyFill="1" applyBorder="1"/>
    <xf numFmtId="0" fontId="0" fillId="0" borderId="44" xfId="0" applyBorder="1" applyAlignment="1">
      <alignment horizontal="center" vertical="center"/>
    </xf>
    <xf numFmtId="0" fontId="0" fillId="0" borderId="42" xfId="0" applyBorder="1" applyAlignment="1">
      <alignment horizontal="center" vertical="center"/>
    </xf>
    <xf numFmtId="0" fontId="0" fillId="0" borderId="54" xfId="0" applyBorder="1"/>
    <xf numFmtId="0" fontId="40" fillId="0" borderId="0" xfId="0" applyFont="1" applyBorder="1" applyAlignment="1">
      <alignment horizontal="center" vertical="center"/>
    </xf>
    <xf numFmtId="0" fontId="40" fillId="0" borderId="0" xfId="0" applyFont="1" applyBorder="1"/>
    <xf numFmtId="0" fontId="32" fillId="0" borderId="19" xfId="0" applyFont="1" applyBorder="1"/>
    <xf numFmtId="0" fontId="33" fillId="2" borderId="20" xfId="0" applyFont="1" applyFill="1" applyBorder="1"/>
    <xf numFmtId="0" fontId="0" fillId="0" borderId="19" xfId="0" applyBorder="1" applyAlignment="1">
      <alignment horizontal="center" vertical="center"/>
    </xf>
    <xf numFmtId="0" fontId="0" fillId="0" borderId="1" xfId="0" applyBorder="1" applyAlignment="1">
      <alignment horizontal="center" vertical="center"/>
    </xf>
    <xf numFmtId="0" fontId="0" fillId="0" borderId="20" xfId="0" applyBorder="1" applyAlignment="1">
      <alignment horizontal="center" vertical="center"/>
    </xf>
    <xf numFmtId="0" fontId="14" fillId="0" borderId="0" xfId="0" applyFont="1" applyBorder="1" applyAlignment="1">
      <alignment horizontal="center" vertical="center"/>
    </xf>
    <xf numFmtId="0" fontId="32" fillId="10" borderId="19" xfId="0" applyFont="1" applyFill="1" applyBorder="1"/>
    <xf numFmtId="0" fontId="30" fillId="10" borderId="20" xfId="0" applyFont="1" applyFill="1" applyBorder="1" applyAlignment="1"/>
    <xf numFmtId="0" fontId="32" fillId="6" borderId="20" xfId="0" applyFont="1" applyFill="1" applyBorder="1"/>
    <xf numFmtId="0" fontId="0" fillId="0" borderId="20" xfId="0" applyBorder="1"/>
    <xf numFmtId="0" fontId="32" fillId="10" borderId="20" xfId="0" applyFont="1" applyFill="1" applyBorder="1"/>
    <xf numFmtId="0" fontId="0" fillId="0" borderId="21" xfId="0" applyBorder="1" applyAlignment="1">
      <alignment horizontal="center" vertical="center"/>
    </xf>
    <xf numFmtId="0" fontId="0" fillId="2" borderId="22" xfId="0" applyFill="1" applyBorder="1" applyAlignment="1">
      <alignment horizontal="center" vertical="center"/>
    </xf>
    <xf numFmtId="0" fontId="32" fillId="12" borderId="19" xfId="0" applyFont="1" applyFill="1" applyBorder="1"/>
    <xf numFmtId="0" fontId="32" fillId="12" borderId="20" xfId="0" applyFont="1" applyFill="1" applyBorder="1" applyAlignment="1">
      <alignment horizontal="left"/>
    </xf>
    <xf numFmtId="0" fontId="0" fillId="0" borderId="0" xfId="0" applyFill="1" applyAlignment="1">
      <alignment horizontal="center" vertical="center"/>
    </xf>
    <xf numFmtId="49" fontId="32" fillId="0" borderId="20" xfId="0" applyNumberFormat="1" applyFont="1" applyBorder="1" applyAlignment="1"/>
    <xf numFmtId="0" fontId="32" fillId="2" borderId="20" xfId="0" applyFont="1" applyFill="1" applyBorder="1"/>
    <xf numFmtId="0" fontId="32" fillId="0" borderId="1" xfId="0" applyFont="1" applyBorder="1"/>
    <xf numFmtId="0" fontId="76" fillId="2" borderId="1" xfId="2" applyFill="1" applyBorder="1" applyAlignment="1" applyProtection="1"/>
    <xf numFmtId="0" fontId="32" fillId="0" borderId="1" xfId="0" applyFont="1" applyFill="1" applyBorder="1"/>
    <xf numFmtId="0" fontId="0" fillId="2" borderId="1" xfId="0" applyFill="1" applyBorder="1" applyAlignment="1">
      <alignment horizontal="left"/>
    </xf>
    <xf numFmtId="0" fontId="32" fillId="0" borderId="0" xfId="0" applyFont="1" applyFill="1" applyBorder="1"/>
    <xf numFmtId="0" fontId="14" fillId="0" borderId="0" xfId="0" applyFont="1" applyFill="1"/>
    <xf numFmtId="0" fontId="32" fillId="0" borderId="0" xfId="0" applyFont="1" applyFill="1" applyAlignment="1">
      <alignment wrapText="1"/>
    </xf>
    <xf numFmtId="0" fontId="76" fillId="0" borderId="0" xfId="2" applyFill="1" applyAlignment="1" applyProtection="1">
      <alignment horizontal="left" vertical="top"/>
    </xf>
    <xf numFmtId="0" fontId="28" fillId="0" borderId="0" xfId="0" applyFont="1" applyFill="1" applyAlignment="1">
      <alignment horizontal="left"/>
    </xf>
    <xf numFmtId="0" fontId="33" fillId="0" borderId="0" xfId="0" applyFont="1" applyFill="1" applyAlignment="1">
      <alignment horizontal="left"/>
    </xf>
    <xf numFmtId="49" fontId="32" fillId="0" borderId="0" xfId="0" applyNumberFormat="1" applyFont="1" applyFill="1" applyAlignment="1"/>
    <xf numFmtId="49" fontId="32" fillId="0" borderId="0" xfId="0" applyNumberFormat="1" applyFont="1" applyFill="1"/>
    <xf numFmtId="0" fontId="33" fillId="0" borderId="0" xfId="0" applyFont="1" applyFill="1"/>
    <xf numFmtId="0" fontId="30" fillId="0" borderId="0" xfId="0" applyFont="1" applyFill="1" applyAlignment="1"/>
    <xf numFmtId="0" fontId="0" fillId="0" borderId="0" xfId="0" applyAlignment="1">
      <alignment horizontal="center"/>
    </xf>
    <xf numFmtId="0" fontId="0" fillId="0" borderId="0" xfId="0" applyAlignment="1">
      <alignment horizontal="center" vertical="center"/>
    </xf>
    <xf numFmtId="0" fontId="0" fillId="0" borderId="0" xfId="0" applyAlignment="1">
      <alignment vertical="top"/>
    </xf>
    <xf numFmtId="0" fontId="24" fillId="0" borderId="0" xfId="0" applyFont="1" applyAlignment="1"/>
    <xf numFmtId="0" fontId="0" fillId="0" borderId="0" xfId="0" applyFill="1" applyBorder="1"/>
    <xf numFmtId="170" fontId="0" fillId="0" borderId="0" xfId="0" applyNumberFormat="1" applyFont="1" applyFill="1" applyBorder="1" applyAlignment="1">
      <alignment horizontal="center"/>
    </xf>
    <xf numFmtId="0" fontId="0" fillId="0" borderId="0" xfId="0" applyFont="1" applyFill="1" applyBorder="1"/>
    <xf numFmtId="0" fontId="0" fillId="0" borderId="0" xfId="0" applyFill="1" applyBorder="1" applyAlignment="1">
      <alignment horizontal="center" vertical="center"/>
    </xf>
    <xf numFmtId="0" fontId="56" fillId="0" borderId="0" xfId="0" applyFont="1" applyFill="1"/>
    <xf numFmtId="166" fontId="60" fillId="0" borderId="0" xfId="0" applyNumberFormat="1" applyFont="1" applyFill="1" applyBorder="1" applyAlignment="1">
      <alignment horizontal="center" vertical="center"/>
    </xf>
    <xf numFmtId="166" fontId="60" fillId="0" borderId="0" xfId="0" applyNumberFormat="1" applyFont="1" applyFill="1" applyBorder="1" applyAlignment="1"/>
    <xf numFmtId="0" fontId="32" fillId="0" borderId="0" xfId="0" applyFont="1" applyFill="1" applyAlignment="1">
      <alignment horizontal="right" vertical="top"/>
    </xf>
    <xf numFmtId="170" fontId="0" fillId="0" borderId="0" xfId="0" applyNumberFormat="1" applyFill="1" applyBorder="1" applyAlignment="1">
      <alignment horizontal="center"/>
    </xf>
    <xf numFmtId="0" fontId="0" fillId="0" borderId="0" xfId="0" applyFill="1" applyAlignment="1">
      <alignment vertical="center"/>
    </xf>
    <xf numFmtId="0" fontId="0" fillId="0" borderId="0" xfId="0" applyFill="1" applyBorder="1" applyAlignment="1">
      <alignment vertical="center"/>
    </xf>
    <xf numFmtId="0" fontId="0" fillId="0" borderId="0" xfId="0" applyFont="1" applyFill="1" applyBorder="1" applyAlignment="1">
      <alignment vertical="center"/>
    </xf>
    <xf numFmtId="0" fontId="1" fillId="0" borderId="0" xfId="0" applyFont="1" applyFill="1" applyBorder="1" applyAlignment="1">
      <alignment horizontal="center" vertical="center"/>
    </xf>
    <xf numFmtId="0" fontId="0" fillId="0" borderId="0" xfId="0" applyFont="1" applyFill="1" applyBorder="1" applyAlignment="1">
      <alignment horizontal="left" vertical="center"/>
    </xf>
    <xf numFmtId="2" fontId="0" fillId="0" borderId="0" xfId="0" applyNumberFormat="1" applyFill="1" applyBorder="1" applyAlignment="1">
      <alignment horizontal="center" vertical="center"/>
    </xf>
    <xf numFmtId="0" fontId="0" fillId="0" borderId="0" xfId="0" applyFill="1" applyBorder="1" applyAlignment="1">
      <alignment wrapText="1"/>
    </xf>
    <xf numFmtId="0" fontId="0" fillId="0" borderId="0" xfId="0" applyFont="1" applyFill="1" applyBorder="1" applyAlignment="1">
      <alignment wrapText="1"/>
    </xf>
    <xf numFmtId="0" fontId="0" fillId="0" borderId="0" xfId="0" applyBorder="1" applyAlignment="1">
      <alignment horizontal="center" vertical="center"/>
    </xf>
    <xf numFmtId="0" fontId="0" fillId="0" borderId="0" xfId="0" applyFont="1" applyBorder="1" applyAlignment="1">
      <alignment horizontal="center" vertical="center"/>
    </xf>
    <xf numFmtId="171" fontId="0" fillId="0" borderId="0" xfId="0" applyNumberFormat="1"/>
    <xf numFmtId="171" fontId="0" fillId="2" borderId="0" xfId="0" applyNumberFormat="1" applyFill="1"/>
    <xf numFmtId="0" fontId="0" fillId="0" borderId="0" xfId="0" applyFont="1" applyBorder="1" applyAlignment="1">
      <alignment horizontal="center" vertical="center" wrapText="1"/>
    </xf>
    <xf numFmtId="2" fontId="0" fillId="0" borderId="0" xfId="0" applyNumberFormat="1" applyFont="1" applyBorder="1" applyAlignment="1">
      <alignment horizontal="center" vertical="center" wrapText="1"/>
    </xf>
    <xf numFmtId="2" fontId="0" fillId="0" borderId="0" xfId="0" applyNumberFormat="1" applyFont="1" applyBorder="1" applyAlignment="1">
      <alignment horizontal="center" vertical="center"/>
    </xf>
    <xf numFmtId="170" fontId="0" fillId="0" borderId="0" xfId="0" applyNumberFormat="1"/>
    <xf numFmtId="170" fontId="0" fillId="0" borderId="0" xfId="0" applyNumberFormat="1" applyAlignment="1">
      <alignment horizontal="right" vertical="center"/>
    </xf>
    <xf numFmtId="170" fontId="0" fillId="0" borderId="0" xfId="0" applyNumberFormat="1" applyAlignment="1">
      <alignment vertical="center"/>
    </xf>
    <xf numFmtId="0" fontId="0" fillId="0" borderId="0" xfId="0" applyAlignment="1">
      <alignment horizontal="center"/>
    </xf>
    <xf numFmtId="0" fontId="0" fillId="17" borderId="1" xfId="0" applyFill="1" applyBorder="1"/>
    <xf numFmtId="0" fontId="27" fillId="0" borderId="1" xfId="0" applyFont="1" applyBorder="1" applyAlignment="1">
      <alignment wrapText="1"/>
    </xf>
    <xf numFmtId="0" fontId="78" fillId="0" borderId="1" xfId="0" applyFont="1" applyBorder="1" applyAlignment="1">
      <alignment wrapText="1"/>
    </xf>
    <xf numFmtId="0" fontId="0" fillId="0" borderId="7" xfId="0" applyBorder="1"/>
    <xf numFmtId="0" fontId="0" fillId="0" borderId="8" xfId="0" applyBorder="1"/>
    <xf numFmtId="0" fontId="3" fillId="0" borderId="9" xfId="0" applyFont="1" applyBorder="1"/>
    <xf numFmtId="0" fontId="0" fillId="0" borderId="12" xfId="0" applyBorder="1" applyAlignment="1">
      <alignment horizontal="center"/>
    </xf>
    <xf numFmtId="0" fontId="0" fillId="0" borderId="10" xfId="0" applyFill="1" applyBorder="1" applyAlignment="1">
      <alignment horizontal="center"/>
    </xf>
    <xf numFmtId="0" fontId="0" fillId="0" borderId="15" xfId="0" applyBorder="1" applyAlignment="1">
      <alignment horizontal="right"/>
    </xf>
    <xf numFmtId="0" fontId="3" fillId="0" borderId="17" xfId="0" applyFont="1" applyBorder="1" applyAlignment="1">
      <alignment horizontal="center"/>
    </xf>
    <xf numFmtId="0" fontId="32" fillId="10" borderId="0" xfId="0" applyFont="1" applyFill="1" applyAlignment="1"/>
    <xf numFmtId="0" fontId="0" fillId="0" borderId="0" xfId="0" applyAlignment="1">
      <alignment wrapText="1"/>
    </xf>
    <xf numFmtId="0" fontId="6" fillId="0" borderId="0" xfId="0" applyFont="1" applyAlignment="1">
      <alignment wrapText="1"/>
    </xf>
    <xf numFmtId="170" fontId="79" fillId="0" borderId="0" xfId="0" applyNumberFormat="1" applyFont="1"/>
    <xf numFmtId="0" fontId="1" fillId="0" borderId="56" xfId="0" applyFont="1" applyBorder="1" applyAlignment="1">
      <alignment horizontal="center" vertical="center"/>
    </xf>
    <xf numFmtId="0" fontId="1" fillId="0" borderId="59" xfId="0" applyFont="1" applyBorder="1" applyAlignment="1">
      <alignment horizontal="center" vertical="center"/>
    </xf>
    <xf numFmtId="0" fontId="1" fillId="0" borderId="55" xfId="0" applyFont="1" applyBorder="1" applyAlignment="1">
      <alignment horizontal="center" vertical="center"/>
    </xf>
    <xf numFmtId="0" fontId="1" fillId="0" borderId="0" xfId="0" applyFont="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2" fillId="0" borderId="14" xfId="0" applyFont="1" applyBorder="1" applyAlignment="1">
      <alignment horizontal="center" vertical="center" wrapText="1"/>
    </xf>
    <xf numFmtId="0" fontId="9" fillId="0" borderId="14"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2" fillId="0" borderId="33" xfId="0" applyFont="1" applyBorder="1" applyAlignment="1">
      <alignment horizontal="center" wrapText="1"/>
    </xf>
    <xf numFmtId="0" fontId="22" fillId="0" borderId="34" xfId="0" applyFont="1" applyBorder="1" applyAlignment="1">
      <alignment horizontal="center" wrapText="1"/>
    </xf>
    <xf numFmtId="0" fontId="22" fillId="0" borderId="35" xfId="0" applyFont="1" applyBorder="1" applyAlignment="1">
      <alignment horizontal="center" wrapText="1"/>
    </xf>
    <xf numFmtId="0" fontId="0" fillId="2" borderId="0" xfId="0" applyFill="1" applyAlignment="1">
      <alignment horizontal="center" vertical="center"/>
    </xf>
    <xf numFmtId="0" fontId="32" fillId="0" borderId="0" xfId="0" applyFont="1" applyAlignment="1">
      <alignment horizontal="justify" vertical="top" wrapText="1"/>
    </xf>
    <xf numFmtId="0" fontId="32" fillId="0" borderId="0" xfId="0" applyFont="1" applyAlignment="1">
      <alignment horizontal="left" vertical="top" wrapText="1"/>
    </xf>
    <xf numFmtId="0" fontId="33" fillId="0" borderId="0" xfId="0" applyFont="1" applyAlignment="1">
      <alignment horizontal="justify" vertical="center" wrapText="1"/>
    </xf>
    <xf numFmtId="0" fontId="32" fillId="0" borderId="0" xfId="0" applyFont="1" applyAlignment="1">
      <alignment horizontal="justify" vertical="center" wrapText="1"/>
    </xf>
    <xf numFmtId="0" fontId="34" fillId="0" borderId="0" xfId="0" applyFont="1" applyAlignment="1">
      <alignment horizontal="justify" vertical="center" wrapText="1"/>
    </xf>
    <xf numFmtId="0" fontId="33" fillId="0" borderId="0" xfId="0" applyFont="1" applyAlignment="1">
      <alignment horizontal="justify" vertical="center"/>
    </xf>
    <xf numFmtId="0" fontId="31" fillId="0" borderId="0" xfId="0" applyFont="1" applyAlignment="1">
      <alignment horizontal="left" vertical="center" wrapText="1"/>
    </xf>
    <xf numFmtId="0" fontId="33" fillId="0" borderId="0" xfId="0" applyFont="1" applyAlignment="1">
      <alignment horizontal="justify" wrapText="1"/>
    </xf>
    <xf numFmtId="0" fontId="33" fillId="0" borderId="1" xfId="0" applyFont="1" applyBorder="1" applyAlignment="1">
      <alignment horizontal="left"/>
    </xf>
    <xf numFmtId="0" fontId="33" fillId="0" borderId="1" xfId="0" applyFont="1" applyBorder="1" applyAlignment="1">
      <alignment horizontal="left" vertical="center" wrapText="1"/>
    </xf>
    <xf numFmtId="0" fontId="33" fillId="0" borderId="1" xfId="0" applyFont="1" applyBorder="1" applyAlignment="1">
      <alignment horizontal="left" vertical="center"/>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center"/>
    </xf>
    <xf numFmtId="166" fontId="32" fillId="0" borderId="1" xfId="0" applyNumberFormat="1" applyFont="1" applyBorder="1" applyAlignment="1">
      <alignment horizontal="center"/>
    </xf>
    <xf numFmtId="166" fontId="32" fillId="0" borderId="1" xfId="0" applyNumberFormat="1" applyFont="1" applyBorder="1" applyAlignment="1">
      <alignment horizontal="center" vertical="center"/>
    </xf>
    <xf numFmtId="0" fontId="32" fillId="0" borderId="1" xfId="0" applyFont="1" applyBorder="1" applyAlignment="1">
      <alignment horizontal="left" vertical="center" wrapText="1"/>
    </xf>
    <xf numFmtId="0" fontId="32" fillId="0" borderId="1" xfId="0" applyFont="1" applyBorder="1" applyAlignment="1">
      <alignment horizontal="left" vertical="center"/>
    </xf>
    <xf numFmtId="0" fontId="32" fillId="0" borderId="1" xfId="0" applyFont="1" applyBorder="1" applyAlignment="1">
      <alignment horizontal="left"/>
    </xf>
    <xf numFmtId="0" fontId="32" fillId="0" borderId="0" xfId="0" applyFont="1" applyAlignment="1">
      <alignment horizontal="center"/>
    </xf>
    <xf numFmtId="0" fontId="28" fillId="0" borderId="0" xfId="0" applyFont="1" applyAlignment="1">
      <alignment horizontal="center"/>
    </xf>
    <xf numFmtId="0" fontId="33" fillId="0" borderId="0" xfId="0" applyNumberFormat="1" applyFont="1" applyAlignment="1">
      <alignment horizontal="justify" vertical="top" wrapText="1"/>
    </xf>
    <xf numFmtId="0" fontId="33" fillId="0" borderId="0" xfId="0" applyNumberFormat="1" applyFont="1" applyAlignment="1">
      <alignment horizontal="justify" vertical="top"/>
    </xf>
    <xf numFmtId="0" fontId="54" fillId="0" borderId="22" xfId="0" applyFont="1" applyBorder="1" applyAlignment="1">
      <alignment horizontal="center" vertical="center"/>
    </xf>
    <xf numFmtId="0" fontId="54" fillId="0" borderId="23" xfId="0" applyFont="1" applyBorder="1" applyAlignment="1">
      <alignment horizontal="center" vertical="center"/>
    </xf>
    <xf numFmtId="0" fontId="54" fillId="0" borderId="1" xfId="0" applyFont="1" applyBorder="1" applyAlignment="1">
      <alignment horizontal="center" vertical="center"/>
    </xf>
    <xf numFmtId="0" fontId="54" fillId="0" borderId="20" xfId="0" applyFont="1" applyBorder="1" applyAlignment="1">
      <alignment horizontal="center" vertical="center"/>
    </xf>
    <xf numFmtId="0" fontId="54" fillId="0" borderId="42" xfId="0" applyFont="1" applyBorder="1" applyAlignment="1">
      <alignment horizontal="center" vertical="center"/>
    </xf>
    <xf numFmtId="0" fontId="54" fillId="0" borderId="54" xfId="0" applyFont="1" applyBorder="1" applyAlignment="1">
      <alignment horizontal="center" vertical="center"/>
    </xf>
    <xf numFmtId="0" fontId="32" fillId="0" borderId="0" xfId="0" applyFont="1" applyBorder="1" applyAlignment="1">
      <alignment horizontal="center"/>
    </xf>
    <xf numFmtId="0" fontId="30" fillId="0" borderId="65" xfId="0" applyFont="1" applyBorder="1" applyAlignment="1">
      <alignment horizontal="center"/>
    </xf>
    <xf numFmtId="0" fontId="30" fillId="0" borderId="4" xfId="0" applyFont="1" applyBorder="1" applyAlignment="1">
      <alignment horizontal="center"/>
    </xf>
    <xf numFmtId="0" fontId="30" fillId="0" borderId="5" xfId="0" applyFont="1" applyBorder="1" applyAlignment="1">
      <alignment horizontal="center"/>
    </xf>
    <xf numFmtId="0" fontId="30" fillId="0" borderId="3" xfId="0" applyFont="1" applyBorder="1" applyAlignment="1">
      <alignment horizontal="center"/>
    </xf>
    <xf numFmtId="0" fontId="32" fillId="0" borderId="43" xfId="0" applyFont="1" applyBorder="1" applyAlignment="1">
      <alignment horizontal="left"/>
    </xf>
    <xf numFmtId="0" fontId="32" fillId="0" borderId="39" xfId="0" applyFont="1" applyBorder="1" applyAlignment="1">
      <alignment horizontal="left"/>
    </xf>
    <xf numFmtId="0" fontId="32" fillId="0" borderId="56" xfId="0" applyFont="1" applyBorder="1" applyAlignment="1">
      <alignment horizontal="left"/>
    </xf>
    <xf numFmtId="0" fontId="32" fillId="0" borderId="22" xfId="0" applyFont="1" applyBorder="1" applyAlignment="1">
      <alignment horizontal="left"/>
    </xf>
    <xf numFmtId="0" fontId="32" fillId="0" borderId="58" xfId="0" applyFont="1" applyBorder="1" applyAlignment="1">
      <alignment horizontal="left"/>
    </xf>
    <xf numFmtId="0" fontId="32" fillId="0" borderId="19"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30" fillId="0" borderId="52" xfId="0" applyFont="1" applyBorder="1" applyAlignment="1">
      <alignment horizontal="center"/>
    </xf>
    <xf numFmtId="0" fontId="32" fillId="0" borderId="44" xfId="0" applyFont="1" applyBorder="1" applyAlignment="1">
      <alignment horizontal="center"/>
    </xf>
    <xf numFmtId="0" fontId="32" fillId="0" borderId="42" xfId="0" applyFont="1" applyBorder="1" applyAlignment="1">
      <alignment horizontal="center"/>
    </xf>
    <xf numFmtId="0" fontId="32" fillId="0" borderId="56" xfId="0" applyFont="1" applyBorder="1" applyAlignment="1">
      <alignment horizontal="center" vertical="center"/>
    </xf>
    <xf numFmtId="0" fontId="32" fillId="0" borderId="59" xfId="0" applyFont="1" applyBorder="1" applyAlignment="1">
      <alignment horizontal="center" vertical="center"/>
    </xf>
    <xf numFmtId="0" fontId="32" fillId="0" borderId="55" xfId="0" applyFont="1" applyBorder="1" applyAlignment="1">
      <alignment horizontal="center" vertical="center"/>
    </xf>
    <xf numFmtId="0" fontId="33" fillId="0" borderId="56" xfId="0" applyFont="1" applyBorder="1" applyAlignment="1">
      <alignment horizontal="left" vertical="center" wrapText="1"/>
    </xf>
    <xf numFmtId="0" fontId="33" fillId="0" borderId="59" xfId="0" applyFont="1" applyBorder="1" applyAlignment="1">
      <alignment horizontal="left" vertical="center" wrapText="1"/>
    </xf>
    <xf numFmtId="0" fontId="33" fillId="0" borderId="55" xfId="0" applyFont="1" applyBorder="1" applyAlignment="1">
      <alignment horizontal="left" vertical="center"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55" fillId="0" borderId="0" xfId="0" applyFont="1" applyBorder="1" applyAlignment="1">
      <alignment horizontal="center" vertical="center"/>
    </xf>
    <xf numFmtId="0" fontId="60" fillId="0" borderId="1" xfId="0" applyFont="1" applyBorder="1" applyAlignment="1">
      <alignment horizontal="center" vertical="top"/>
    </xf>
    <xf numFmtId="0" fontId="70" fillId="0" borderId="1" xfId="0" applyFont="1" applyBorder="1" applyAlignment="1">
      <alignment horizontal="center" vertical="center" wrapText="1"/>
    </xf>
    <xf numFmtId="0" fontId="60" fillId="0" borderId="1" xfId="0" applyFont="1" applyBorder="1" applyAlignment="1">
      <alignment horizontal="center" vertical="center" wrapText="1"/>
    </xf>
    <xf numFmtId="170" fontId="48" fillId="0" borderId="1" xfId="0" applyNumberFormat="1" applyFont="1" applyBorder="1" applyAlignment="1">
      <alignment horizontal="center" vertical="center" wrapText="1"/>
    </xf>
    <xf numFmtId="0" fontId="29" fillId="0" borderId="1" xfId="0" applyFont="1" applyBorder="1" applyAlignment="1">
      <alignment horizontal="right" vertical="center" wrapText="1"/>
    </xf>
    <xf numFmtId="0" fontId="60" fillId="0" borderId="1" xfId="0" applyFont="1" applyBorder="1" applyAlignment="1">
      <alignment horizontal="center" vertical="center"/>
    </xf>
    <xf numFmtId="170" fontId="48" fillId="0" borderId="1" xfId="0" applyNumberFormat="1" applyFont="1" applyBorder="1" applyAlignment="1">
      <alignment horizontal="center" vertical="center"/>
    </xf>
    <xf numFmtId="170" fontId="29" fillId="0" borderId="1" xfId="0" applyNumberFormat="1" applyFont="1" applyBorder="1" applyAlignment="1">
      <alignment horizontal="center" vertical="center"/>
    </xf>
    <xf numFmtId="0" fontId="48" fillId="0" borderId="1" xfId="0" applyFont="1" applyBorder="1" applyAlignment="1">
      <alignment horizontal="center"/>
    </xf>
    <xf numFmtId="170" fontId="48" fillId="0" borderId="1" xfId="0" applyNumberFormat="1" applyFont="1" applyBorder="1" applyAlignment="1">
      <alignment horizontal="center"/>
    </xf>
    <xf numFmtId="0" fontId="59" fillId="0" borderId="1" xfId="0" applyFont="1" applyBorder="1" applyAlignment="1">
      <alignment horizontal="left"/>
    </xf>
    <xf numFmtId="0" fontId="60" fillId="0" borderId="1" xfId="0" applyFont="1" applyBorder="1" applyAlignment="1">
      <alignment horizontal="center"/>
    </xf>
    <xf numFmtId="0" fontId="59" fillId="0" borderId="0" xfId="0" applyFont="1" applyAlignment="1">
      <alignment horizontal="center" vertical="center"/>
    </xf>
    <xf numFmtId="0" fontId="59" fillId="0" borderId="1" xfId="0" applyFont="1" applyBorder="1" applyAlignment="1">
      <alignment horizontal="left" vertical="center" wrapText="1"/>
    </xf>
    <xf numFmtId="0" fontId="59" fillId="0" borderId="1" xfId="0" applyFont="1" applyBorder="1" applyAlignment="1">
      <alignment horizontal="left" vertical="center"/>
    </xf>
    <xf numFmtId="0" fontId="59" fillId="0" borderId="56" xfId="0" applyFont="1" applyBorder="1" applyAlignment="1">
      <alignment horizontal="left" vertical="center"/>
    </xf>
    <xf numFmtId="0" fontId="60" fillId="0" borderId="1" xfId="0" applyFont="1" applyBorder="1" applyAlignment="1">
      <alignment vertical="center"/>
    </xf>
    <xf numFmtId="166" fontId="60" fillId="0" borderId="1" xfId="0" applyNumberFormat="1" applyFont="1" applyBorder="1" applyAlignment="1">
      <alignment vertical="center"/>
    </xf>
    <xf numFmtId="0" fontId="59" fillId="0" borderId="56" xfId="0" applyFont="1" applyBorder="1" applyAlignment="1">
      <alignment horizontal="left"/>
    </xf>
    <xf numFmtId="0" fontId="60" fillId="0" borderId="1" xfId="0" applyNumberFormat="1" applyFont="1" applyBorder="1" applyAlignment="1">
      <alignment horizontal="center" vertical="center"/>
    </xf>
    <xf numFmtId="0" fontId="60" fillId="0" borderId="1" xfId="0" applyFont="1" applyFill="1" applyBorder="1" applyAlignment="1">
      <alignment horizontal="center"/>
    </xf>
    <xf numFmtId="0" fontId="60" fillId="0" borderId="56" xfId="0" applyFont="1" applyFill="1" applyBorder="1" applyAlignment="1">
      <alignment horizontal="center"/>
    </xf>
    <xf numFmtId="0" fontId="59" fillId="0" borderId="59" xfId="0" applyFont="1" applyFill="1" applyBorder="1" applyAlignment="1">
      <alignment horizontal="left" vertical="center" wrapText="1"/>
    </xf>
    <xf numFmtId="0" fontId="59" fillId="0" borderId="59" xfId="0" applyFont="1" applyFill="1" applyBorder="1" applyAlignment="1">
      <alignment horizontal="left" vertical="center"/>
    </xf>
    <xf numFmtId="0" fontId="59" fillId="0" borderId="39" xfId="0" applyFont="1" applyFill="1" applyBorder="1" applyAlignment="1">
      <alignment horizontal="left" vertical="center"/>
    </xf>
    <xf numFmtId="0" fontId="48" fillId="0" borderId="1" xfId="0" applyFont="1" applyFill="1" applyBorder="1" applyAlignment="1">
      <alignment horizontal="center"/>
    </xf>
    <xf numFmtId="0" fontId="48" fillId="0" borderId="56" xfId="0" applyFont="1" applyFill="1" applyBorder="1" applyAlignment="1">
      <alignment horizontal="center"/>
    </xf>
    <xf numFmtId="166" fontId="61" fillId="0" borderId="59" xfId="0" applyNumberFormat="1" applyFont="1" applyFill="1" applyBorder="1" applyAlignment="1">
      <alignment horizontal="center"/>
    </xf>
    <xf numFmtId="166" fontId="61" fillId="0" borderId="55" xfId="0" applyNumberFormat="1" applyFont="1" applyFill="1" applyBorder="1" applyAlignment="1">
      <alignment horizontal="center"/>
    </xf>
    <xf numFmtId="0" fontId="47" fillId="0" borderId="1" xfId="0" applyFont="1" applyFill="1" applyBorder="1" applyAlignment="1">
      <alignment horizontal="left" vertical="top" wrapText="1"/>
    </xf>
    <xf numFmtId="0" fontId="47" fillId="0" borderId="56" xfId="0" applyFont="1" applyFill="1" applyBorder="1" applyAlignment="1">
      <alignment horizontal="left" vertical="top" wrapText="1"/>
    </xf>
    <xf numFmtId="0" fontId="48" fillId="0" borderId="1" xfId="0" applyFont="1" applyFill="1" applyBorder="1" applyAlignment="1">
      <alignment horizontal="center" vertical="center" wrapText="1"/>
    </xf>
    <xf numFmtId="0" fontId="48" fillId="0" borderId="1" xfId="0" applyFont="1" applyFill="1" applyBorder="1" applyAlignment="1">
      <alignment horizontal="center" vertical="center"/>
    </xf>
    <xf numFmtId="0" fontId="47" fillId="0" borderId="1" xfId="0" applyFont="1" applyFill="1" applyBorder="1" applyAlignment="1">
      <alignment horizontal="center"/>
    </xf>
    <xf numFmtId="0" fontId="48" fillId="0" borderId="56" xfId="0" applyFont="1" applyFill="1" applyBorder="1" applyAlignment="1">
      <alignment horizontal="center" vertical="center"/>
    </xf>
    <xf numFmtId="0" fontId="48" fillId="0" borderId="55" xfId="0" applyFont="1" applyFill="1" applyBorder="1" applyAlignment="1">
      <alignment horizontal="center" vertical="center" wrapText="1"/>
    </xf>
    <xf numFmtId="166" fontId="48" fillId="0" borderId="55" xfId="0" applyNumberFormat="1" applyFont="1" applyFill="1" applyBorder="1" applyAlignment="1">
      <alignment horizontal="center"/>
    </xf>
    <xf numFmtId="166" fontId="48" fillId="0" borderId="1" xfId="0" applyNumberFormat="1" applyFont="1" applyFill="1" applyBorder="1" applyAlignment="1">
      <alignment horizontal="center"/>
    </xf>
    <xf numFmtId="0" fontId="60" fillId="0" borderId="0" xfId="0" applyFont="1" applyAlignment="1">
      <alignment horizontal="left" vertical="top" wrapText="1"/>
    </xf>
    <xf numFmtId="0" fontId="31" fillId="0" borderId="0" xfId="0" applyFont="1" applyAlignment="1">
      <alignment horizontal="center" vertical="top"/>
    </xf>
    <xf numFmtId="0" fontId="30" fillId="0" borderId="0" xfId="0" applyFont="1" applyAlignment="1">
      <alignment horizontal="center" wrapText="1"/>
    </xf>
    <xf numFmtId="0" fontId="60" fillId="0" borderId="0" xfId="0" applyFont="1" applyAlignment="1">
      <alignment horizontal="justify" vertical="top" wrapText="1"/>
    </xf>
    <xf numFmtId="0" fontId="60" fillId="0" borderId="39" xfId="0" applyFont="1" applyBorder="1" applyAlignment="1">
      <alignment horizontal="center" vertical="center" wrapText="1"/>
    </xf>
    <xf numFmtId="0" fontId="60" fillId="0" borderId="0" xfId="0" applyFont="1" applyBorder="1" applyAlignment="1">
      <alignment horizontal="center" vertical="center" wrapText="1"/>
    </xf>
    <xf numFmtId="0" fontId="60" fillId="0" borderId="0" xfId="0" applyFont="1" applyAlignment="1">
      <alignment horizontal="center" vertical="top" wrapText="1"/>
    </xf>
    <xf numFmtId="166" fontId="60" fillId="0" borderId="1" xfId="0" applyNumberFormat="1" applyFont="1" applyBorder="1" applyAlignment="1">
      <alignment horizontal="center"/>
    </xf>
    <xf numFmtId="166" fontId="60" fillId="0" borderId="1" xfId="0" applyNumberFormat="1" applyFont="1" applyBorder="1" applyAlignment="1">
      <alignment horizontal="center" vertical="center"/>
    </xf>
    <xf numFmtId="166" fontId="29" fillId="0" borderId="1" xfId="0" applyNumberFormat="1" applyFont="1" applyBorder="1" applyAlignment="1">
      <alignment horizontal="right"/>
    </xf>
    <xf numFmtId="166" fontId="48" fillId="0" borderId="1" xfId="0" applyNumberFormat="1" applyFont="1" applyBorder="1" applyAlignment="1">
      <alignment horizontal="center" vertical="center"/>
    </xf>
    <xf numFmtId="0" fontId="47" fillId="0" borderId="56" xfId="0" applyFont="1" applyBorder="1" applyAlignment="1">
      <alignment horizontal="center" vertical="center"/>
    </xf>
    <xf numFmtId="0" fontId="47" fillId="0" borderId="59" xfId="0" applyFont="1" applyBorder="1" applyAlignment="1">
      <alignment horizontal="center" vertical="center"/>
    </xf>
    <xf numFmtId="0" fontId="47" fillId="0" borderId="55" xfId="0" applyFont="1" applyBorder="1" applyAlignment="1">
      <alignment horizontal="center" vertical="center"/>
    </xf>
    <xf numFmtId="0" fontId="60" fillId="0" borderId="56" xfId="0" applyFont="1" applyBorder="1" applyAlignment="1">
      <alignment horizontal="center"/>
    </xf>
    <xf numFmtId="0" fontId="60" fillId="0" borderId="55" xfId="0" applyFont="1" applyBorder="1" applyAlignment="1">
      <alignment horizontal="center"/>
    </xf>
    <xf numFmtId="0" fontId="60" fillId="0" borderId="59" xfId="0" applyFont="1" applyBorder="1" applyAlignment="1">
      <alignment horizontal="center"/>
    </xf>
    <xf numFmtId="0" fontId="59" fillId="0" borderId="0" xfId="0" applyFont="1" applyAlignment="1">
      <alignment horizontal="left" vertical="center" wrapText="1"/>
    </xf>
    <xf numFmtId="0" fontId="61" fillId="0" borderId="0" xfId="0" applyFont="1" applyAlignment="1">
      <alignment horizontal="left" vertical="top" wrapText="1"/>
    </xf>
    <xf numFmtId="0" fontId="59" fillId="0" borderId="0" xfId="0" applyFont="1" applyAlignment="1">
      <alignment horizontal="left" vertical="top"/>
    </xf>
    <xf numFmtId="170" fontId="63" fillId="0" borderId="0" xfId="0" applyNumberFormat="1" applyFont="1" applyAlignment="1">
      <alignment horizontal="left" vertical="top"/>
    </xf>
    <xf numFmtId="0" fontId="59" fillId="0" borderId="0" xfId="0" applyFont="1" applyAlignment="1">
      <alignment horizontal="left" vertical="top" wrapText="1"/>
    </xf>
    <xf numFmtId="0" fontId="63" fillId="0" borderId="0" xfId="0" applyFont="1" applyAlignment="1">
      <alignment horizontal="center" vertical="top"/>
    </xf>
    <xf numFmtId="0" fontId="60" fillId="0" borderId="0" xfId="0" applyFont="1" applyAlignment="1">
      <alignment horizontal="left" vertical="top"/>
    </xf>
    <xf numFmtId="0" fontId="30" fillId="0" borderId="0" xfId="0" applyFont="1" applyAlignment="1">
      <alignment horizontal="center" vertical="top" wrapText="1"/>
    </xf>
    <xf numFmtId="0" fontId="48" fillId="0" borderId="0" xfId="0" applyFont="1" applyAlignment="1">
      <alignment horizontal="justify" vertical="top" wrapText="1"/>
    </xf>
    <xf numFmtId="0" fontId="30" fillId="0" borderId="0" xfId="0" applyFont="1" applyAlignment="1">
      <alignment horizontal="center"/>
    </xf>
    <xf numFmtId="0" fontId="63" fillId="0" borderId="0" xfId="0" applyFont="1" applyAlignment="1">
      <alignment horizontal="center" vertical="top" wrapText="1"/>
    </xf>
    <xf numFmtId="0" fontId="59" fillId="0" borderId="0" xfId="0" applyFont="1" applyAlignment="1">
      <alignment horizontal="justify" vertical="top" wrapText="1"/>
    </xf>
    <xf numFmtId="0" fontId="60" fillId="0" borderId="0" xfId="0" applyFont="1" applyAlignment="1">
      <alignment horizontal="justify" vertical="top"/>
    </xf>
    <xf numFmtId="0" fontId="59" fillId="0" borderId="0" xfId="0" applyFont="1" applyAlignment="1">
      <alignment horizontal="justify" vertical="top"/>
    </xf>
    <xf numFmtId="0" fontId="63" fillId="0" borderId="0" xfId="0" applyFont="1" applyAlignment="1">
      <alignment horizontal="center"/>
    </xf>
    <xf numFmtId="169" fontId="32" fillId="0" borderId="0" xfId="0" applyNumberFormat="1" applyFont="1" applyAlignment="1">
      <alignment horizontal="center"/>
    </xf>
    <xf numFmtId="0" fontId="59" fillId="0" borderId="0" xfId="0" applyNumberFormat="1" applyFont="1" applyAlignment="1">
      <alignment horizontal="justify" vertical="top" wrapText="1"/>
    </xf>
    <xf numFmtId="0" fontId="60" fillId="0" borderId="0" xfId="0" applyFont="1" applyFill="1" applyAlignment="1">
      <alignment horizontal="justify" vertical="top" wrapText="1"/>
    </xf>
    <xf numFmtId="170" fontId="61" fillId="0" borderId="0" xfId="0" applyNumberFormat="1" applyFont="1" applyAlignment="1">
      <alignment horizontal="left" vertical="top" wrapText="1"/>
    </xf>
    <xf numFmtId="0" fontId="59" fillId="0" borderId="0" xfId="0" applyNumberFormat="1" applyFont="1" applyAlignment="1">
      <alignment horizontal="left" vertical="top"/>
    </xf>
    <xf numFmtId="0" fontId="62" fillId="0" borderId="39" xfId="0" applyFont="1" applyBorder="1" applyAlignment="1">
      <alignment horizontal="left" vertical="top" wrapText="1"/>
    </xf>
    <xf numFmtId="0" fontId="60" fillId="0" borderId="59" xfId="0" applyFont="1" applyBorder="1" applyAlignment="1">
      <alignment horizontal="left" vertical="top" wrapText="1"/>
    </xf>
    <xf numFmtId="166" fontId="61" fillId="0" borderId="1" xfId="0" applyNumberFormat="1" applyFont="1" applyBorder="1" applyAlignment="1">
      <alignment horizontal="center"/>
    </xf>
    <xf numFmtId="0" fontId="60" fillId="0" borderId="56" xfId="0" applyFont="1" applyBorder="1" applyAlignment="1">
      <alignment horizontal="center" vertical="center"/>
    </xf>
    <xf numFmtId="0" fontId="62" fillId="0" borderId="59" xfId="0" applyFont="1" applyBorder="1" applyAlignment="1">
      <alignment horizontal="center" vertical="top" wrapText="1"/>
    </xf>
    <xf numFmtId="170" fontId="61" fillId="0" borderId="0" xfId="0" quotePrefix="1" applyNumberFormat="1" applyFont="1" applyAlignment="1">
      <alignment horizontal="left" vertical="top" wrapText="1"/>
    </xf>
    <xf numFmtId="4" fontId="45" fillId="0" borderId="0" xfId="0" applyNumberFormat="1" applyFont="1" applyAlignment="1">
      <alignment horizontal="right" vertical="top"/>
    </xf>
    <xf numFmtId="0" fontId="42" fillId="0" borderId="0" xfId="0" applyFont="1" applyAlignment="1">
      <alignment horizontal="left"/>
    </xf>
    <xf numFmtId="0" fontId="41" fillId="0" borderId="39" xfId="0" applyNumberFormat="1" applyFont="1" applyBorder="1" applyAlignment="1">
      <alignment horizontal="right"/>
    </xf>
    <xf numFmtId="4" fontId="43" fillId="0" borderId="57" xfId="0" applyNumberFormat="1" applyFont="1" applyBorder="1" applyAlignment="1">
      <alignment horizontal="right" vertical="top"/>
    </xf>
    <xf numFmtId="4" fontId="43" fillId="0" borderId="22" xfId="0" applyNumberFormat="1" applyFont="1" applyBorder="1" applyAlignment="1">
      <alignment horizontal="right" vertical="top"/>
    </xf>
    <xf numFmtId="4" fontId="43" fillId="0" borderId="23" xfId="0" applyNumberFormat="1" applyFont="1" applyBorder="1" applyAlignment="1">
      <alignment horizontal="right" vertical="top"/>
    </xf>
    <xf numFmtId="1" fontId="43" fillId="0" borderId="19" xfId="0" applyNumberFormat="1" applyFont="1" applyBorder="1" applyAlignment="1">
      <alignment horizontal="center" vertical="top"/>
    </xf>
    <xf numFmtId="0" fontId="43" fillId="0" borderId="20" xfId="0" applyFont="1" applyBorder="1" applyAlignment="1">
      <alignment vertical="top"/>
    </xf>
    <xf numFmtId="0" fontId="43" fillId="0" borderId="55" xfId="0" applyFont="1" applyBorder="1" applyAlignment="1">
      <alignment vertical="top"/>
    </xf>
    <xf numFmtId="0" fontId="43" fillId="0" borderId="1" xfId="0" applyFont="1" applyBorder="1" applyAlignment="1">
      <alignment vertical="top"/>
    </xf>
    <xf numFmtId="0" fontId="43" fillId="0" borderId="56" xfId="0" applyFont="1" applyBorder="1" applyAlignment="1">
      <alignment vertical="top"/>
    </xf>
    <xf numFmtId="1" fontId="43" fillId="0" borderId="19" xfId="0" applyNumberFormat="1" applyFont="1" applyBorder="1" applyAlignment="1">
      <alignment horizontal="right" vertical="top"/>
    </xf>
    <xf numFmtId="0" fontId="43" fillId="0" borderId="1" xfId="0" applyFont="1" applyBorder="1" applyAlignment="1">
      <alignment horizontal="right" vertical="top"/>
    </xf>
    <xf numFmtId="0" fontId="43" fillId="0" borderId="20" xfId="0" applyFont="1" applyBorder="1" applyAlignment="1">
      <alignment horizontal="right" vertical="top"/>
    </xf>
    <xf numFmtId="0" fontId="43" fillId="0" borderId="55" xfId="0" applyNumberFormat="1" applyFont="1" applyBorder="1" applyAlignment="1">
      <alignment horizontal="left" vertical="top"/>
    </xf>
    <xf numFmtId="0" fontId="43" fillId="0" borderId="1" xfId="0" applyFont="1" applyBorder="1" applyAlignment="1">
      <alignment horizontal="left" vertical="top"/>
    </xf>
    <xf numFmtId="0" fontId="43" fillId="0" borderId="56" xfId="0" applyFont="1" applyBorder="1" applyAlignment="1">
      <alignment horizontal="left" vertical="top"/>
    </xf>
    <xf numFmtId="166" fontId="43" fillId="0" borderId="19" xfId="0" applyNumberFormat="1" applyFont="1" applyBorder="1" applyAlignment="1">
      <alignment horizontal="right"/>
    </xf>
    <xf numFmtId="166" fontId="43" fillId="0" borderId="1" xfId="0" applyNumberFormat="1" applyFont="1" applyBorder="1" applyAlignment="1">
      <alignment horizontal="right"/>
    </xf>
    <xf numFmtId="166" fontId="43" fillId="0" borderId="20" xfId="0" applyNumberFormat="1" applyFont="1" applyBorder="1" applyAlignment="1">
      <alignment horizontal="right"/>
    </xf>
    <xf numFmtId="4" fontId="43" fillId="0" borderId="55" xfId="0" applyNumberFormat="1" applyFont="1" applyBorder="1" applyAlignment="1">
      <alignment horizontal="right" vertical="top"/>
    </xf>
    <xf numFmtId="4" fontId="43" fillId="0" borderId="1" xfId="0" applyNumberFormat="1" applyFont="1" applyBorder="1" applyAlignment="1">
      <alignment horizontal="right" vertical="top"/>
    </xf>
    <xf numFmtId="4" fontId="43" fillId="0" borderId="20" xfId="0" applyNumberFormat="1" applyFont="1" applyBorder="1" applyAlignment="1">
      <alignment horizontal="right" vertical="top"/>
    </xf>
    <xf numFmtId="1" fontId="43" fillId="0" borderId="21" xfId="0" applyNumberFormat="1" applyFont="1" applyBorder="1" applyAlignment="1">
      <alignment horizontal="center" vertical="top"/>
    </xf>
    <xf numFmtId="0" fontId="43" fillId="0" borderId="23" xfId="0" applyFont="1" applyBorder="1" applyAlignment="1">
      <alignment vertical="top"/>
    </xf>
    <xf numFmtId="0" fontId="43" fillId="0" borderId="57" xfId="0" applyFont="1" applyBorder="1" applyAlignment="1">
      <alignment vertical="top"/>
    </xf>
    <xf numFmtId="0" fontId="43" fillId="0" borderId="22" xfId="0" applyFont="1" applyBorder="1" applyAlignment="1">
      <alignment vertical="top"/>
    </xf>
    <xf numFmtId="0" fontId="43" fillId="0" borderId="58" xfId="0" applyFont="1" applyBorder="1" applyAlignment="1">
      <alignment vertical="top"/>
    </xf>
    <xf numFmtId="1" fontId="41" fillId="0" borderId="19" xfId="0" applyNumberFormat="1" applyFont="1" applyBorder="1" applyAlignment="1">
      <alignment horizontal="right" vertical="top"/>
    </xf>
    <xf numFmtId="0" fontId="41" fillId="0" borderId="1" xfId="0" applyFont="1" applyBorder="1" applyAlignment="1">
      <alignment horizontal="right" vertical="top"/>
    </xf>
    <xf numFmtId="0" fontId="41" fillId="0" borderId="20" xfId="0" applyFont="1" applyBorder="1" applyAlignment="1">
      <alignment horizontal="right" vertical="top"/>
    </xf>
    <xf numFmtId="0" fontId="43" fillId="0" borderId="57" xfId="0" applyNumberFormat="1" applyFont="1" applyBorder="1" applyAlignment="1">
      <alignment horizontal="left" vertical="top"/>
    </xf>
    <xf numFmtId="0" fontId="43" fillId="0" borderId="22" xfId="0" applyFont="1" applyBorder="1" applyAlignment="1">
      <alignment horizontal="left" vertical="top"/>
    </xf>
    <xf numFmtId="0" fontId="43" fillId="0" borderId="58" xfId="0" applyFont="1" applyBorder="1" applyAlignment="1">
      <alignment horizontal="left" vertical="top"/>
    </xf>
    <xf numFmtId="166" fontId="43" fillId="0" borderId="21" xfId="0" applyNumberFormat="1" applyFont="1" applyBorder="1" applyAlignment="1">
      <alignment horizontal="right"/>
    </xf>
    <xf numFmtId="166" fontId="43" fillId="0" borderId="22" xfId="0" applyNumberFormat="1" applyFont="1" applyBorder="1" applyAlignment="1">
      <alignment horizontal="right"/>
    </xf>
    <xf numFmtId="166" fontId="43" fillId="0" borderId="23" xfId="0" applyNumberFormat="1" applyFont="1" applyBorder="1" applyAlignment="1">
      <alignment horizontal="right"/>
    </xf>
    <xf numFmtId="4" fontId="41" fillId="0" borderId="55" xfId="0" applyNumberFormat="1" applyFont="1" applyBorder="1" applyAlignment="1">
      <alignment horizontal="right" vertical="top"/>
    </xf>
    <xf numFmtId="4" fontId="41" fillId="0" borderId="1" xfId="0" applyNumberFormat="1" applyFont="1" applyBorder="1" applyAlignment="1">
      <alignment horizontal="right" vertical="top"/>
    </xf>
    <xf numFmtId="4" fontId="41" fillId="0" borderId="20" xfId="0" applyNumberFormat="1" applyFont="1" applyBorder="1" applyAlignment="1">
      <alignment horizontal="right" vertical="top"/>
    </xf>
    <xf numFmtId="1" fontId="41" fillId="0" borderId="27" xfId="0" applyNumberFormat="1" applyFont="1" applyBorder="1" applyAlignment="1">
      <alignment horizontal="center" vertical="top"/>
    </xf>
    <xf numFmtId="1" fontId="41" fillId="0" borderId="29" xfId="0" applyNumberFormat="1" applyFont="1" applyBorder="1" applyAlignment="1">
      <alignment horizontal="center" vertical="top"/>
    </xf>
    <xf numFmtId="0" fontId="41" fillId="0" borderId="53" xfId="0" applyNumberFormat="1" applyFont="1" applyFill="1" applyBorder="1" applyAlignment="1">
      <alignment horizontal="left" vertical="top" wrapText="1"/>
    </xf>
    <xf numFmtId="0" fontId="41" fillId="0" borderId="42" xfId="0" applyFont="1" applyFill="1" applyBorder="1" applyAlignment="1">
      <alignment horizontal="left" vertical="top" wrapText="1"/>
    </xf>
    <xf numFmtId="0" fontId="41" fillId="0" borderId="43" xfId="0" applyFont="1" applyFill="1" applyBorder="1" applyAlignment="1">
      <alignment horizontal="left" vertical="top" wrapText="1"/>
    </xf>
    <xf numFmtId="1" fontId="41" fillId="0" borderId="27" xfId="0" applyNumberFormat="1" applyFont="1" applyBorder="1" applyAlignment="1">
      <alignment horizontal="right" vertical="top"/>
    </xf>
    <xf numFmtId="1" fontId="41" fillId="0" borderId="28" xfId="0" applyNumberFormat="1" applyFont="1" applyBorder="1" applyAlignment="1">
      <alignment horizontal="right" vertical="top"/>
    </xf>
    <xf numFmtId="1" fontId="41" fillId="0" borderId="29" xfId="0" applyNumberFormat="1" applyFont="1" applyBorder="1" applyAlignment="1">
      <alignment horizontal="right" vertical="top"/>
    </xf>
    <xf numFmtId="0" fontId="41" fillId="0" borderId="53" xfId="0" applyNumberFormat="1" applyFont="1" applyBorder="1" applyAlignment="1">
      <alignment horizontal="left" vertical="top"/>
    </xf>
    <xf numFmtId="0" fontId="41" fillId="0" borderId="42" xfId="0" applyNumberFormat="1" applyFont="1" applyBorder="1" applyAlignment="1">
      <alignment horizontal="left" vertical="top"/>
    </xf>
    <xf numFmtId="0" fontId="41" fillId="0" borderId="43" xfId="0" applyNumberFormat="1" applyFont="1" applyBorder="1" applyAlignment="1">
      <alignment horizontal="left" vertical="top"/>
    </xf>
    <xf numFmtId="166" fontId="41" fillId="0" borderId="27" xfId="0" applyNumberFormat="1" applyFont="1" applyBorder="1" applyAlignment="1">
      <alignment horizontal="right"/>
    </xf>
    <xf numFmtId="166" fontId="41" fillId="0" borderId="28" xfId="0" applyNumberFormat="1" applyFont="1" applyBorder="1" applyAlignment="1">
      <alignment horizontal="right"/>
    </xf>
    <xf numFmtId="166" fontId="41" fillId="0" borderId="29" xfId="0" applyNumberFormat="1" applyFont="1" applyBorder="1" applyAlignment="1">
      <alignment horizontal="right"/>
    </xf>
    <xf numFmtId="4" fontId="41" fillId="0" borderId="53" xfId="0" applyNumberFormat="1" applyFont="1" applyBorder="1" applyAlignment="1">
      <alignment horizontal="right" vertical="top"/>
    </xf>
    <xf numFmtId="4" fontId="41" fillId="0" borderId="42" xfId="0" applyNumberFormat="1" applyFont="1" applyBorder="1" applyAlignment="1">
      <alignment horizontal="right" vertical="top"/>
    </xf>
    <xf numFmtId="4" fontId="41" fillId="0" borderId="54" xfId="0" applyNumberFormat="1" applyFont="1" applyBorder="1" applyAlignment="1">
      <alignment horizontal="right" vertical="top"/>
    </xf>
    <xf numFmtId="1" fontId="41" fillId="0" borderId="19" xfId="0" applyNumberFormat="1" applyFont="1" applyBorder="1" applyAlignment="1">
      <alignment horizontal="center" vertical="top"/>
    </xf>
    <xf numFmtId="0" fontId="41" fillId="0" borderId="20" xfId="0" applyFont="1" applyBorder="1" applyAlignment="1">
      <alignment vertical="top"/>
    </xf>
    <xf numFmtId="0" fontId="41" fillId="0" borderId="55" xfId="0" applyFont="1" applyBorder="1" applyAlignment="1">
      <alignment vertical="top"/>
    </xf>
    <xf numFmtId="0" fontId="41" fillId="0" borderId="1" xfId="0" applyFont="1" applyBorder="1" applyAlignment="1">
      <alignment vertical="top"/>
    </xf>
    <xf numFmtId="0" fontId="41" fillId="0" borderId="56" xfId="0" applyFont="1" applyBorder="1" applyAlignment="1">
      <alignment vertical="top"/>
    </xf>
    <xf numFmtId="0" fontId="41" fillId="0" borderId="55" xfId="0" applyNumberFormat="1" applyFont="1" applyBorder="1" applyAlignment="1">
      <alignment horizontal="left" vertical="top"/>
    </xf>
    <xf numFmtId="0" fontId="41" fillId="0" borderId="1" xfId="0" applyFont="1" applyBorder="1" applyAlignment="1">
      <alignment horizontal="left" vertical="top"/>
    </xf>
    <xf numFmtId="0" fontId="41" fillId="0" borderId="56" xfId="0" applyFont="1" applyBorder="1" applyAlignment="1">
      <alignment horizontal="left" vertical="top"/>
    </xf>
    <xf numFmtId="166" fontId="41" fillId="0" borderId="19" xfId="0" applyNumberFormat="1" applyFont="1" applyBorder="1" applyAlignment="1">
      <alignment horizontal="right"/>
    </xf>
    <xf numFmtId="166" fontId="41" fillId="0" borderId="1" xfId="0" applyNumberFormat="1" applyFont="1" applyBorder="1" applyAlignment="1">
      <alignment horizontal="right"/>
    </xf>
    <xf numFmtId="166" fontId="41" fillId="0" borderId="20" xfId="0" applyNumberFormat="1" applyFont="1" applyBorder="1" applyAlignment="1">
      <alignment horizontal="right"/>
    </xf>
    <xf numFmtId="0" fontId="45" fillId="0" borderId="9" xfId="0" applyNumberFormat="1" applyFont="1" applyBorder="1" applyAlignment="1">
      <alignment horizontal="center" vertical="center"/>
    </xf>
    <xf numFmtId="0" fontId="45" fillId="0" borderId="5" xfId="0" applyNumberFormat="1" applyFont="1" applyBorder="1" applyAlignment="1">
      <alignment horizontal="center" vertical="center"/>
    </xf>
    <xf numFmtId="0" fontId="44" fillId="0" borderId="0" xfId="0" applyNumberFormat="1" applyFont="1" applyAlignment="1">
      <alignment horizontal="left" vertical="center"/>
    </xf>
    <xf numFmtId="0" fontId="0" fillId="0" borderId="16" xfId="0" applyFont="1" applyBorder="1" applyAlignment="1">
      <alignment horizontal="left"/>
    </xf>
    <xf numFmtId="0" fontId="42" fillId="0" borderId="0" xfId="0" applyNumberFormat="1" applyFont="1" applyAlignment="1">
      <alignment horizontal="left" vertical="top"/>
    </xf>
    <xf numFmtId="0" fontId="45" fillId="0" borderId="0" xfId="0" applyNumberFormat="1" applyFont="1" applyAlignment="1">
      <alignment horizontal="left" vertical="top" wrapText="1"/>
    </xf>
    <xf numFmtId="0" fontId="45" fillId="0" borderId="7" xfId="0" applyNumberFormat="1" applyFont="1" applyBorder="1" applyAlignment="1">
      <alignment horizontal="center" vertical="center"/>
    </xf>
    <xf numFmtId="0" fontId="45" fillId="0" borderId="2" xfId="0" applyNumberFormat="1" applyFont="1" applyBorder="1" applyAlignment="1">
      <alignment horizontal="center" vertical="center"/>
    </xf>
    <xf numFmtId="0" fontId="45" fillId="0" borderId="8" xfId="0" applyNumberFormat="1" applyFont="1" applyBorder="1" applyAlignment="1">
      <alignment horizontal="center" vertical="center"/>
    </xf>
    <xf numFmtId="0" fontId="45" fillId="0" borderId="52" xfId="0" applyNumberFormat="1" applyFont="1" applyBorder="1" applyAlignment="1">
      <alignment horizontal="center" vertical="center"/>
    </xf>
    <xf numFmtId="0" fontId="42" fillId="0" borderId="47" xfId="0" applyNumberFormat="1" applyFont="1" applyBorder="1" applyAlignment="1">
      <alignment horizontal="left" vertical="top" wrapText="1"/>
    </xf>
    <xf numFmtId="0" fontId="42" fillId="0" borderId="49" xfId="0" applyNumberFormat="1" applyFont="1" applyBorder="1" applyAlignment="1">
      <alignment horizontal="left" vertical="top" wrapText="1"/>
    </xf>
    <xf numFmtId="0" fontId="42" fillId="0" borderId="6" xfId="0" applyNumberFormat="1" applyFont="1" applyBorder="1" applyAlignment="1">
      <alignment horizontal="left" vertical="top" wrapText="1"/>
    </xf>
    <xf numFmtId="0" fontId="42" fillId="0" borderId="0" xfId="0" applyNumberFormat="1" applyFont="1" applyBorder="1" applyAlignment="1">
      <alignment horizontal="left" vertical="top" wrapText="1"/>
    </xf>
    <xf numFmtId="0" fontId="42" fillId="0" borderId="51" xfId="0" applyNumberFormat="1" applyFont="1" applyBorder="1" applyAlignment="1">
      <alignment horizontal="left" vertical="top" wrapText="1"/>
    </xf>
    <xf numFmtId="0" fontId="42" fillId="0" borderId="16" xfId="0" applyNumberFormat="1" applyFont="1" applyBorder="1" applyAlignment="1">
      <alignment horizontal="left" vertical="top" wrapText="1"/>
    </xf>
    <xf numFmtId="0" fontId="42" fillId="0" borderId="46" xfId="0" applyNumberFormat="1" applyFont="1" applyBorder="1" applyAlignment="1">
      <alignment horizontal="left" vertical="top" wrapText="1"/>
    </xf>
    <xf numFmtId="0" fontId="43" fillId="0" borderId="15" xfId="0" applyNumberFormat="1" applyFont="1" applyBorder="1" applyAlignment="1">
      <alignment horizontal="left" vertical="center"/>
    </xf>
    <xf numFmtId="0" fontId="43" fillId="0" borderId="51" xfId="0" applyNumberFormat="1" applyFont="1" applyBorder="1" applyAlignment="1">
      <alignment horizontal="left" vertical="center"/>
    </xf>
    <xf numFmtId="0" fontId="41" fillId="0" borderId="0" xfId="0" applyNumberFormat="1" applyFont="1" applyAlignment="1">
      <alignment horizontal="center" vertical="center" wrapText="1"/>
    </xf>
    <xf numFmtId="0" fontId="42" fillId="0" borderId="40" xfId="0" applyNumberFormat="1" applyFont="1" applyBorder="1" applyAlignment="1">
      <alignment horizontal="left" vertical="top" wrapText="1"/>
    </xf>
    <xf numFmtId="0" fontId="42" fillId="0" borderId="18" xfId="0" applyNumberFormat="1" applyFont="1" applyBorder="1" applyAlignment="1">
      <alignment horizontal="left" vertical="top" wrapText="1"/>
    </xf>
    <xf numFmtId="0" fontId="42" fillId="0" borderId="24" xfId="0" applyNumberFormat="1" applyFont="1" applyBorder="1" applyAlignment="1">
      <alignment horizontal="left" vertical="top" wrapText="1"/>
    </xf>
    <xf numFmtId="0" fontId="42" fillId="0" borderId="25" xfId="0" applyNumberFormat="1" applyFont="1" applyBorder="1" applyAlignment="1">
      <alignment horizontal="left" vertical="top" wrapText="1"/>
    </xf>
    <xf numFmtId="0" fontId="42" fillId="0" borderId="28" xfId="0" applyNumberFormat="1" applyFont="1" applyBorder="1" applyAlignment="1">
      <alignment horizontal="left" vertical="center"/>
    </xf>
    <xf numFmtId="167" fontId="42" fillId="0" borderId="18" xfId="0" applyNumberFormat="1" applyFont="1" applyBorder="1" applyAlignment="1">
      <alignment horizontal="left" vertical="center"/>
    </xf>
    <xf numFmtId="167" fontId="42" fillId="0" borderId="41" xfId="0" applyNumberFormat="1" applyFont="1" applyBorder="1" applyAlignment="1">
      <alignment horizontal="left" vertical="center"/>
    </xf>
    <xf numFmtId="0" fontId="42" fillId="0" borderId="1" xfId="0" applyNumberFormat="1" applyFont="1" applyBorder="1" applyAlignment="1">
      <alignment horizontal="left" vertical="top"/>
    </xf>
    <xf numFmtId="0" fontId="42" fillId="0" borderId="42" xfId="0" applyNumberFormat="1" applyFont="1" applyBorder="1" applyAlignment="1">
      <alignment horizontal="left" vertical="top"/>
    </xf>
    <xf numFmtId="0" fontId="42" fillId="0" borderId="43" xfId="0" applyNumberFormat="1" applyFont="1" applyBorder="1" applyAlignment="1">
      <alignment horizontal="left" vertical="top"/>
    </xf>
    <xf numFmtId="0" fontId="41" fillId="0" borderId="44" xfId="0" applyFont="1" applyBorder="1" applyAlignment="1">
      <alignment horizontal="left"/>
    </xf>
    <xf numFmtId="0" fontId="41" fillId="0" borderId="42" xfId="0" applyFont="1" applyBorder="1" applyAlignment="1">
      <alignment horizontal="left"/>
    </xf>
    <xf numFmtId="0" fontId="42" fillId="0" borderId="46" xfId="0" applyNumberFormat="1" applyFont="1" applyBorder="1" applyAlignment="1">
      <alignment horizontal="left" vertical="center"/>
    </xf>
    <xf numFmtId="0" fontId="42" fillId="0" borderId="47" xfId="0" applyNumberFormat="1" applyFont="1" applyBorder="1" applyAlignment="1">
      <alignment horizontal="left" vertical="center"/>
    </xf>
    <xf numFmtId="1" fontId="42" fillId="0" borderId="48" xfId="0" applyNumberFormat="1" applyFont="1" applyBorder="1" applyAlignment="1">
      <alignment horizontal="left" vertical="center"/>
    </xf>
    <xf numFmtId="0" fontId="42" fillId="0" borderId="22" xfId="0" applyNumberFormat="1" applyFont="1" applyBorder="1" applyAlignment="1">
      <alignment horizontal="left" vertical="top"/>
    </xf>
    <xf numFmtId="0" fontId="61" fillId="0" borderId="0" xfId="0" applyFont="1" applyAlignment="1">
      <alignment horizontal="center" wrapText="1"/>
    </xf>
    <xf numFmtId="0" fontId="61" fillId="0" borderId="0" xfId="0" applyFont="1" applyAlignment="1">
      <alignment horizontal="center" vertical="top" wrapText="1"/>
    </xf>
    <xf numFmtId="166" fontId="60" fillId="0" borderId="1" xfId="0" applyNumberFormat="1" applyFont="1" applyFill="1" applyBorder="1" applyAlignment="1">
      <alignment horizontal="center"/>
    </xf>
    <xf numFmtId="0" fontId="59" fillId="0" borderId="56" xfId="0" applyFont="1" applyBorder="1" applyAlignment="1">
      <alignment horizontal="left" vertical="top"/>
    </xf>
    <xf numFmtId="0" fontId="59" fillId="0" borderId="59" xfId="0" applyFont="1" applyBorder="1" applyAlignment="1">
      <alignment horizontal="left" vertical="top"/>
    </xf>
    <xf numFmtId="0" fontId="59" fillId="0" borderId="55" xfId="0" applyFont="1" applyBorder="1" applyAlignment="1">
      <alignment horizontal="left" vertical="top"/>
    </xf>
    <xf numFmtId="0" fontId="60" fillId="0" borderId="59" xfId="0" applyFont="1" applyBorder="1" applyAlignment="1">
      <alignment horizontal="center" vertical="center"/>
    </xf>
    <xf numFmtId="0" fontId="60" fillId="0" borderId="55" xfId="0" applyFont="1" applyBorder="1" applyAlignment="1">
      <alignment horizontal="center" vertical="center"/>
    </xf>
    <xf numFmtId="0" fontId="60" fillId="0" borderId="0" xfId="0" applyFont="1" applyBorder="1" applyAlignment="1">
      <alignment horizontal="center"/>
    </xf>
    <xf numFmtId="0" fontId="59" fillId="0" borderId="0" xfId="0" applyFont="1" applyBorder="1" applyAlignment="1">
      <alignment horizontal="left"/>
    </xf>
    <xf numFmtId="166" fontId="60" fillId="0" borderId="0" xfId="0" applyNumberFormat="1" applyFont="1" applyBorder="1" applyAlignment="1">
      <alignment horizontal="center"/>
    </xf>
    <xf numFmtId="166" fontId="60" fillId="0" borderId="0" xfId="0" applyNumberFormat="1" applyFont="1" applyBorder="1" applyAlignment="1">
      <alignment horizontal="center" vertical="center"/>
    </xf>
    <xf numFmtId="0" fontId="59" fillId="0" borderId="56" xfId="0" applyFont="1" applyBorder="1" applyAlignment="1">
      <alignment horizontal="center"/>
    </xf>
    <xf numFmtId="0" fontId="59" fillId="0" borderId="59" xfId="0" applyFont="1" applyBorder="1" applyAlignment="1">
      <alignment horizontal="center"/>
    </xf>
    <xf numFmtId="0" fontId="59" fillId="0" borderId="55" xfId="0" applyFont="1" applyBorder="1" applyAlignment="1">
      <alignment horizontal="center"/>
    </xf>
    <xf numFmtId="0" fontId="59" fillId="0" borderId="1" xfId="0" applyFont="1" applyBorder="1" applyAlignment="1">
      <alignment horizontal="center"/>
    </xf>
    <xf numFmtId="0" fontId="65" fillId="0" borderId="1" xfId="0" applyFont="1" applyFill="1" applyBorder="1" applyAlignment="1">
      <alignment horizontal="left" vertical="top" wrapText="1"/>
    </xf>
    <xf numFmtId="0" fontId="61" fillId="0" borderId="0" xfId="0" applyFont="1" applyBorder="1" applyAlignment="1">
      <alignment horizontal="center"/>
    </xf>
    <xf numFmtId="171" fontId="0" fillId="0" borderId="1" xfId="0" applyNumberFormat="1" applyFont="1" applyBorder="1" applyAlignment="1">
      <alignment horizontal="center" vertical="center" wrapText="1"/>
    </xf>
    <xf numFmtId="171" fontId="0" fillId="0" borderId="1" xfId="0" applyNumberFormat="1"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42" xfId="0" applyFont="1" applyBorder="1" applyAlignment="1">
      <alignment horizontal="center" vertical="center"/>
    </xf>
    <xf numFmtId="0" fontId="0" fillId="0" borderId="42" xfId="0" applyBorder="1" applyAlignment="1">
      <alignment horizontal="center" vertical="center"/>
    </xf>
    <xf numFmtId="0" fontId="0" fillId="0" borderId="42" xfId="0" applyFont="1" applyBorder="1" applyAlignment="1">
      <alignment horizontal="center" vertical="center" wrapText="1"/>
    </xf>
    <xf numFmtId="1" fontId="0" fillId="0" borderId="42" xfId="0" applyNumberFormat="1" applyFont="1" applyBorder="1" applyAlignment="1">
      <alignment horizontal="center" vertical="center" wrapText="1"/>
    </xf>
    <xf numFmtId="1" fontId="0" fillId="0" borderId="42" xfId="0" applyNumberFormat="1" applyFont="1"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wrapText="1"/>
    </xf>
    <xf numFmtId="1" fontId="0" fillId="0" borderId="1" xfId="0" applyNumberFormat="1" applyFont="1" applyBorder="1" applyAlignment="1">
      <alignment horizontal="center" vertical="center" wrapText="1"/>
    </xf>
    <xf numFmtId="1" fontId="0" fillId="0" borderId="1" xfId="0" applyNumberFormat="1" applyFont="1" applyBorder="1" applyAlignment="1">
      <alignment horizontal="center" vertical="center"/>
    </xf>
    <xf numFmtId="0" fontId="0" fillId="0" borderId="19" xfId="0" applyFont="1" applyBorder="1" applyAlignment="1">
      <alignment horizontal="center" vertical="center"/>
    </xf>
    <xf numFmtId="0" fontId="0" fillId="0" borderId="56"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55" xfId="0" applyFont="1" applyBorder="1" applyAlignment="1">
      <alignment horizontal="center" vertical="center" wrapText="1"/>
    </xf>
    <xf numFmtId="1" fontId="0" fillId="0" borderId="19" xfId="0" applyNumberFormat="1" applyFont="1" applyBorder="1" applyAlignment="1">
      <alignment horizontal="center" vertical="center" wrapText="1"/>
    </xf>
    <xf numFmtId="1" fontId="0" fillId="0" borderId="20" xfId="0" applyNumberFormat="1" applyFont="1" applyBorder="1" applyAlignment="1">
      <alignment horizontal="center" vertical="center"/>
    </xf>
    <xf numFmtId="1" fontId="0" fillId="0" borderId="55" xfId="0" applyNumberFormat="1" applyFont="1" applyBorder="1" applyAlignment="1">
      <alignment horizontal="center" vertical="center" wrapText="1"/>
    </xf>
    <xf numFmtId="0" fontId="0" fillId="0" borderId="21" xfId="0" applyFont="1" applyBorder="1" applyAlignment="1">
      <alignment horizontal="center" vertical="center"/>
    </xf>
    <xf numFmtId="0" fontId="0" fillId="0" borderId="22" xfId="0" applyFont="1" applyBorder="1" applyAlignment="1">
      <alignment horizontal="center" vertical="center"/>
    </xf>
    <xf numFmtId="0" fontId="0" fillId="0" borderId="58"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57" xfId="0" applyFont="1" applyBorder="1" applyAlignment="1">
      <alignment horizontal="center" vertical="center" wrapText="1"/>
    </xf>
    <xf numFmtId="1" fontId="0" fillId="0" borderId="21" xfId="0" applyNumberFormat="1" applyFont="1" applyBorder="1" applyAlignment="1">
      <alignment horizontal="center" vertical="center" wrapText="1"/>
    </xf>
    <xf numFmtId="1" fontId="0" fillId="0" borderId="22" xfId="0" applyNumberFormat="1" applyFont="1" applyBorder="1" applyAlignment="1">
      <alignment horizontal="center" vertical="center"/>
    </xf>
    <xf numFmtId="1" fontId="0" fillId="0" borderId="23" xfId="0" applyNumberFormat="1" applyFont="1" applyBorder="1" applyAlignment="1">
      <alignment horizontal="center" vertical="center"/>
    </xf>
    <xf numFmtId="1" fontId="0" fillId="0" borderId="57" xfId="0" applyNumberFormat="1" applyFont="1" applyBorder="1" applyAlignment="1">
      <alignment horizontal="center" vertical="center" wrapText="1"/>
    </xf>
    <xf numFmtId="0" fontId="0" fillId="0" borderId="55" xfId="0" applyBorder="1" applyAlignment="1">
      <alignment horizontal="center" vertical="center" wrapText="1"/>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71"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72" xfId="0" applyFont="1" applyBorder="1" applyAlignment="1">
      <alignment horizontal="center" vertical="center" wrapText="1"/>
    </xf>
    <xf numFmtId="1" fontId="0" fillId="0" borderId="27" xfId="0" applyNumberFormat="1" applyFont="1" applyBorder="1" applyAlignment="1">
      <alignment horizontal="center" vertical="center" wrapText="1"/>
    </xf>
    <xf numFmtId="1" fontId="0" fillId="0" borderId="28" xfId="0" applyNumberFormat="1" applyFont="1" applyBorder="1" applyAlignment="1">
      <alignment horizontal="center" vertical="center"/>
    </xf>
    <xf numFmtId="1" fontId="0" fillId="0" borderId="29" xfId="0" applyNumberFormat="1" applyFont="1" applyBorder="1" applyAlignment="1">
      <alignment horizontal="center" vertical="center"/>
    </xf>
    <xf numFmtId="1" fontId="0" fillId="0" borderId="72" xfId="0" applyNumberFormat="1" applyFont="1" applyBorder="1" applyAlignment="1">
      <alignment horizontal="center" vertical="center" wrapText="1"/>
    </xf>
    <xf numFmtId="0" fontId="0" fillId="0" borderId="0" xfId="0" applyBorder="1" applyAlignment="1">
      <alignment horizontal="left" vertical="center"/>
    </xf>
    <xf numFmtId="0" fontId="0" fillId="0" borderId="0" xfId="0" applyFont="1" applyBorder="1" applyAlignment="1">
      <alignment horizontal="left" vertical="center"/>
    </xf>
    <xf numFmtId="0" fontId="1" fillId="0" borderId="40" xfId="0" applyFont="1" applyBorder="1" applyAlignment="1">
      <alignment horizontal="center" vertical="center"/>
    </xf>
    <xf numFmtId="0" fontId="1" fillId="0" borderId="18" xfId="0" applyFont="1" applyBorder="1" applyAlignment="1">
      <alignment horizontal="center" vertical="center"/>
    </xf>
    <xf numFmtId="0" fontId="1" fillId="0" borderId="41"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73" xfId="0" applyFont="1" applyBorder="1" applyAlignment="1">
      <alignment horizontal="center" vertical="center" wrapText="1"/>
    </xf>
    <xf numFmtId="0" fontId="53" fillId="0" borderId="40" xfId="0" applyFont="1" applyBorder="1" applyAlignment="1">
      <alignment horizontal="center" vertical="center" wrapText="1"/>
    </xf>
    <xf numFmtId="0" fontId="53" fillId="0" borderId="18" xfId="0" applyFont="1" applyBorder="1" applyAlignment="1">
      <alignment horizontal="center" vertical="center"/>
    </xf>
    <xf numFmtId="0" fontId="53" fillId="0" borderId="74" xfId="0" applyFont="1" applyBorder="1" applyAlignment="1">
      <alignment horizontal="center" vertical="center"/>
    </xf>
    <xf numFmtId="0" fontId="1" fillId="0" borderId="74" xfId="0" applyFont="1" applyBorder="1" applyAlignment="1">
      <alignment horizontal="center" vertical="center"/>
    </xf>
    <xf numFmtId="0" fontId="0" fillId="0" borderId="0" xfId="0" applyFont="1" applyBorder="1" applyAlignment="1">
      <alignment horizontal="center" vertical="center"/>
    </xf>
    <xf numFmtId="0" fontId="0" fillId="0" borderId="0" xfId="0" applyFont="1" applyBorder="1" applyAlignment="1">
      <alignment horizontal="center" vertical="center" wrapText="1"/>
    </xf>
    <xf numFmtId="171" fontId="1" fillId="0" borderId="7" xfId="0" applyNumberFormat="1" applyFont="1" applyBorder="1" applyAlignment="1">
      <alignment horizontal="center" vertical="center" wrapText="1"/>
    </xf>
    <xf numFmtId="171" fontId="1" fillId="0" borderId="8" xfId="0" applyNumberFormat="1" applyFont="1" applyBorder="1" applyAlignment="1">
      <alignment horizontal="center" vertical="center"/>
    </xf>
    <xf numFmtId="171" fontId="1" fillId="0" borderId="9" xfId="0" applyNumberFormat="1" applyFont="1" applyBorder="1" applyAlignment="1">
      <alignment horizontal="center" vertical="center"/>
    </xf>
    <xf numFmtId="0" fontId="0" fillId="0" borderId="25" xfId="0" applyFont="1" applyBorder="1" applyAlignment="1">
      <alignment horizontal="center" vertical="center"/>
    </xf>
    <xf numFmtId="0" fontId="0" fillId="0" borderId="25" xfId="0" applyFont="1" applyBorder="1" applyAlignment="1">
      <alignment horizontal="center" vertical="center" wrapText="1"/>
    </xf>
    <xf numFmtId="0" fontId="0" fillId="0" borderId="20" xfId="0" applyFont="1" applyBorder="1" applyAlignment="1">
      <alignment horizontal="center" vertical="center"/>
    </xf>
    <xf numFmtId="0" fontId="0" fillId="0" borderId="19" xfId="0" applyFont="1" applyBorder="1" applyAlignment="1">
      <alignment horizontal="center" vertical="center" wrapText="1"/>
    </xf>
    <xf numFmtId="0" fontId="0" fillId="0" borderId="23" xfId="0" applyFont="1" applyBorder="1" applyAlignment="1">
      <alignment horizontal="center" vertical="center"/>
    </xf>
    <xf numFmtId="0" fontId="0" fillId="0" borderId="21" xfId="0" applyFont="1" applyBorder="1" applyAlignment="1">
      <alignment horizontal="center" vertical="center" wrapText="1"/>
    </xf>
    <xf numFmtId="0" fontId="0" fillId="0" borderId="29" xfId="0" applyFont="1" applyBorder="1" applyAlignment="1">
      <alignment horizontal="center" vertical="center"/>
    </xf>
    <xf numFmtId="0" fontId="0" fillId="0" borderId="27" xfId="0" applyFont="1" applyBorder="1" applyAlignment="1">
      <alignment horizontal="center" vertical="center" wrapText="1"/>
    </xf>
    <xf numFmtId="0" fontId="1" fillId="0" borderId="40" xfId="0" applyFont="1" applyBorder="1" applyAlignment="1">
      <alignment horizontal="center" vertical="center" wrapText="1"/>
    </xf>
    <xf numFmtId="0" fontId="0" fillId="0" borderId="75" xfId="0" applyFont="1" applyBorder="1" applyAlignment="1">
      <alignment horizontal="center" vertical="center"/>
    </xf>
    <xf numFmtId="0" fontId="0" fillId="0" borderId="59" xfId="0" applyFont="1" applyBorder="1" applyAlignment="1">
      <alignment horizontal="center" vertical="center"/>
    </xf>
    <xf numFmtId="0" fontId="0" fillId="0" borderId="76" xfId="0" applyFont="1" applyBorder="1" applyAlignment="1">
      <alignment horizontal="center" vertical="center"/>
    </xf>
    <xf numFmtId="0" fontId="0" fillId="0" borderId="77" xfId="0" applyFont="1" applyBorder="1" applyAlignment="1">
      <alignment horizontal="center" vertical="center"/>
    </xf>
    <xf numFmtId="0" fontId="0" fillId="0" borderId="78" xfId="0" applyFont="1" applyBorder="1" applyAlignment="1">
      <alignment horizontal="center" vertical="center"/>
    </xf>
    <xf numFmtId="0" fontId="0" fillId="0" borderId="79" xfId="0" applyFont="1" applyBorder="1" applyAlignment="1">
      <alignment horizontal="center" vertical="center"/>
    </xf>
    <xf numFmtId="0" fontId="0" fillId="0" borderId="0" xfId="0" applyBorder="1" applyAlignment="1">
      <alignment horizontal="center" vertical="center"/>
    </xf>
    <xf numFmtId="2" fontId="0" fillId="0" borderId="0" xfId="0" applyNumberFormat="1" applyFont="1" applyBorder="1" applyAlignment="1">
      <alignment horizontal="center" vertical="center" wrapText="1"/>
    </xf>
    <xf numFmtId="2" fontId="0" fillId="0" borderId="0" xfId="0" applyNumberFormat="1" applyFont="1" applyBorder="1" applyAlignment="1">
      <alignment horizontal="center" vertical="center"/>
    </xf>
    <xf numFmtId="171" fontId="0" fillId="0" borderId="56" xfId="0" applyNumberFormat="1" applyFont="1" applyBorder="1" applyAlignment="1">
      <alignment horizontal="center" wrapText="1"/>
    </xf>
    <xf numFmtId="171" fontId="0" fillId="0" borderId="59" xfId="0" applyNumberFormat="1" applyFont="1" applyBorder="1" applyAlignment="1">
      <alignment horizontal="center"/>
    </xf>
    <xf numFmtId="171" fontId="0" fillId="0" borderId="55" xfId="0" applyNumberFormat="1" applyFont="1" applyBorder="1" applyAlignment="1">
      <alignment horizontal="center"/>
    </xf>
    <xf numFmtId="2" fontId="0" fillId="0" borderId="42" xfId="0" applyNumberFormat="1" applyFont="1" applyBorder="1" applyAlignment="1">
      <alignment horizontal="center" vertical="center" wrapText="1"/>
    </xf>
    <xf numFmtId="2" fontId="0" fillId="0" borderId="42" xfId="0" applyNumberFormat="1" applyFont="1" applyBorder="1" applyAlignment="1">
      <alignment horizontal="center" vertical="center"/>
    </xf>
    <xf numFmtId="0" fontId="0" fillId="0" borderId="25" xfId="0" applyBorder="1" applyAlignment="1">
      <alignment horizontal="center" vertical="center"/>
    </xf>
    <xf numFmtId="2" fontId="0" fillId="0" borderId="25" xfId="0" applyNumberFormat="1" applyFont="1" applyBorder="1" applyAlignment="1">
      <alignment horizontal="center" vertical="center" wrapText="1"/>
    </xf>
    <xf numFmtId="2" fontId="0" fillId="0" borderId="25" xfId="0" applyNumberFormat="1" applyFont="1" applyBorder="1" applyAlignment="1">
      <alignment horizontal="center" vertical="center"/>
    </xf>
    <xf numFmtId="0" fontId="32" fillId="0" borderId="0" xfId="0" applyFont="1" applyFill="1" applyAlignment="1">
      <alignment horizontal="center"/>
    </xf>
    <xf numFmtId="0" fontId="0" fillId="0" borderId="0" xfId="0" applyAlignment="1">
      <alignment horizontal="center"/>
    </xf>
    <xf numFmtId="0" fontId="22" fillId="0" borderId="0" xfId="0" applyFont="1" applyAlignment="1">
      <alignment horizontal="center"/>
    </xf>
    <xf numFmtId="0" fontId="0" fillId="0" borderId="0" xfId="0" applyAlignment="1">
      <alignment horizontal="center" vertical="center" wrapText="1"/>
    </xf>
    <xf numFmtId="0" fontId="0" fillId="0" borderId="0" xfId="0" applyAlignment="1">
      <alignment horizontal="left" vertical="center"/>
    </xf>
    <xf numFmtId="171" fontId="0" fillId="0" borderId="42" xfId="0" applyNumberFormat="1" applyFont="1" applyBorder="1" applyAlignment="1">
      <alignment horizontal="center" vertical="center" wrapText="1"/>
    </xf>
    <xf numFmtId="171" fontId="0" fillId="0" borderId="42" xfId="0" applyNumberFormat="1" applyFont="1" applyBorder="1" applyAlignment="1">
      <alignment horizontal="center" vertical="center"/>
    </xf>
    <xf numFmtId="1" fontId="0" fillId="0" borderId="56" xfId="0" applyNumberFormat="1" applyFont="1" applyBorder="1" applyAlignment="1">
      <alignment horizontal="center" vertical="center"/>
    </xf>
    <xf numFmtId="1" fontId="0" fillId="0" borderId="58" xfId="0" applyNumberFormat="1" applyFont="1" applyBorder="1" applyAlignment="1">
      <alignment horizontal="center" vertical="center"/>
    </xf>
    <xf numFmtId="1" fontId="0" fillId="0" borderId="71" xfId="0" applyNumberFormat="1" applyFont="1" applyBorder="1" applyAlignment="1">
      <alignment horizontal="center" vertical="center"/>
    </xf>
    <xf numFmtId="171" fontId="1" fillId="0" borderId="15" xfId="0" applyNumberFormat="1" applyFont="1" applyBorder="1" applyAlignment="1">
      <alignment horizontal="center" vertical="center" wrapText="1"/>
    </xf>
    <xf numFmtId="171" fontId="1" fillId="0" borderId="16" xfId="0" applyNumberFormat="1" applyFont="1" applyBorder="1" applyAlignment="1">
      <alignment horizontal="center" vertical="center"/>
    </xf>
    <xf numFmtId="171" fontId="1" fillId="0" borderId="17" xfId="0" applyNumberFormat="1" applyFont="1" applyBorder="1" applyAlignment="1">
      <alignment horizontal="center" vertical="center"/>
    </xf>
    <xf numFmtId="171" fontId="0" fillId="0" borderId="43" xfId="0" applyNumberFormat="1" applyFont="1" applyBorder="1" applyAlignment="1">
      <alignment horizontal="center" wrapText="1"/>
    </xf>
    <xf numFmtId="171" fontId="0" fillId="0" borderId="39" xfId="0" applyNumberFormat="1" applyFont="1" applyBorder="1" applyAlignment="1">
      <alignment horizontal="center"/>
    </xf>
    <xf numFmtId="171" fontId="0" fillId="0" borderId="53" xfId="0" applyNumberFormat="1" applyFont="1" applyBorder="1" applyAlignment="1">
      <alignment horizontal="center"/>
    </xf>
    <xf numFmtId="0" fontId="73" fillId="0" borderId="0" xfId="0" applyFont="1" applyAlignment="1">
      <alignment horizontal="center"/>
    </xf>
    <xf numFmtId="0" fontId="0" fillId="0" borderId="0" xfId="0" applyAlignment="1">
      <alignment horizontal="center" vertical="center"/>
    </xf>
  </cellXfs>
  <cellStyles count="3">
    <cellStyle name="Вывод" xfId="1" builtinId="21"/>
    <cellStyle name="Гиперссылка" xfId="2" builtinId="8"/>
    <cellStyle name="Обычный" xfId="0" builtinId="0"/>
  </cellStyles>
  <dxfs count="2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vertical="bottom" textRotation="0" wrapText="0" indent="0" relativeIndent="255" justifyLastLine="0" shrinkToFit="0" mergeCell="0" readingOrder="0"/>
    </dxf>
    <dxf>
      <alignment horizontal="center" vertical="bottom" textRotation="0" wrapText="0" indent="0" relativeIndent="255" justifyLastLine="0" shrinkToFit="0" mergeCell="0" readingOrder="0"/>
    </dxf>
    <dxf>
      <font>
        <b val="0"/>
        <i val="0"/>
        <strike val="0"/>
        <condense val="0"/>
        <extend val="0"/>
        <outline val="0"/>
        <shadow val="0"/>
        <u val="none"/>
        <vertAlign val="baseline"/>
        <sz val="12"/>
        <color theme="1"/>
        <name val="Calibri"/>
        <scheme val="minor"/>
      </font>
      <alignment horizontal="center" vertical="bottom" textRotation="0" wrapText="1" indent="0" relativeIndent="0" justifyLastLine="0" shrinkToFit="0" mergeCell="0" readingOrder="0"/>
      <border diagonalUp="0" diagonalDown="0">
        <left/>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alignment horizontal="center" vertical="bottom" textRotation="0" wrapText="1" indent="0" relativeIndent="0" justifyLastLine="0" shrinkToFit="0" mergeCell="0" readingOrder="0"/>
    </dxf>
    <dxf>
      <border outline="0">
        <bottom style="thin">
          <color rgb="FF000000"/>
        </bottom>
      </border>
    </dxf>
    <dxf>
      <font>
        <b val="0"/>
        <i val="0"/>
        <strike val="0"/>
        <condense val="0"/>
        <extend val="0"/>
        <outline val="0"/>
        <shadow val="0"/>
        <u val="none"/>
        <vertAlign val="baseline"/>
        <sz val="12"/>
        <color theme="1"/>
        <name val="Calibri"/>
        <scheme val="minor"/>
      </font>
      <alignment horizontal="center" vertical="bottom" textRotation="0" wrapText="1" indent="0" relativeIndent="0" justifyLastLine="0" shrinkToFit="0" mergeCell="0" readingOrder="0"/>
    </dxf>
    <dxf>
      <font>
        <b/>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bottom" textRotation="0" wrapText="1" indent="0" relativeIndent="0" justifyLastLine="0" shrinkToFit="0" mergeCell="0" readingOrder="0"/>
      <border diagonalUp="0" diagonalDown="0" outline="0">
        <left/>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bottom" textRotation="0" wrapText="1" indent="0" relativeIndent="0" justifyLastLine="0" shrinkToFit="0" mergeCell="0" readingOrder="0"/>
    </dxf>
    <dxf>
      <border outline="0">
        <bottom style="thin">
          <color rgb="FF00000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bottom" textRotation="0" wrapText="1" indent="0" relativeIndent="0" justifyLastLine="0" shrinkToFit="0" mergeCell="0" readingOrder="0"/>
    </dxf>
    <dxf>
      <border diagonalUp="0" diagonalDown="0" outline="0">
        <left/>
        <right/>
        <top/>
        <bottom/>
      </border>
    </dxf>
  </dxfs>
  <tableStyles count="0" defaultTableStyle="TableStyleMedium9" defaultPivotStyle="PivotStyleLight16"/>
  <colors>
    <mruColors>
      <color rgb="FFFFFF66"/>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11</xdr:col>
      <xdr:colOff>76200</xdr:colOff>
      <xdr:row>7</xdr:row>
      <xdr:rowOff>28575</xdr:rowOff>
    </xdr:to>
    <xdr:pic>
      <xdr:nvPicPr>
        <xdr:cNvPr id="2" name="Рисунок 1" descr="logo.png"/>
        <xdr:cNvPicPr>
          <a:picLocks noChangeAspect="1"/>
        </xdr:cNvPicPr>
      </xdr:nvPicPr>
      <xdr:blipFill>
        <a:blip xmlns:r="http://schemas.openxmlformats.org/officeDocument/2006/relationships" r:embed="rId1" cstate="print"/>
        <a:stretch>
          <a:fillRect/>
        </a:stretch>
      </xdr:blipFill>
      <xdr:spPr>
        <a:xfrm>
          <a:off x="47625" y="0"/>
          <a:ext cx="1495425" cy="1495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9525</xdr:rowOff>
    </xdr:from>
    <xdr:to>
      <xdr:col>11</xdr:col>
      <xdr:colOff>85725</xdr:colOff>
      <xdr:row>7</xdr:row>
      <xdr:rowOff>38100</xdr:rowOff>
    </xdr:to>
    <xdr:pic>
      <xdr:nvPicPr>
        <xdr:cNvPr id="2" name="Рисунок 1" descr="logo.png"/>
        <xdr:cNvPicPr>
          <a:picLocks noChangeAspect="1"/>
        </xdr:cNvPicPr>
      </xdr:nvPicPr>
      <xdr:blipFill>
        <a:blip xmlns:r="http://schemas.openxmlformats.org/officeDocument/2006/relationships" r:embed="rId1" cstate="print"/>
        <a:stretch>
          <a:fillRect/>
        </a:stretch>
      </xdr:blipFill>
      <xdr:spPr>
        <a:xfrm>
          <a:off x="57150" y="9525"/>
          <a:ext cx="1495425" cy="1495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89;&#1095;&#1077;&#1090;%20&#1072;&#1088;&#1077;&#1085;&#1076;&#1099;%20&#1083;&#1077;&#1089;&#1086;&#1074;%20&#1048;&#105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Расчет лесов"/>
      <sheetName val="Вышки туры"/>
      <sheetName val="Договор аренды лесов Физ"/>
      <sheetName val="Договор аренды тур Физ"/>
      <sheetName val="ДляДоговора"/>
      <sheetName val="Договор аренды лесов Юр"/>
      <sheetName val="Счет Юр леса"/>
      <sheetName val="Договор аренды тур Юр"/>
      <sheetName val="Счет Юр вышка"/>
      <sheetName val="Акт невозврата Леса"/>
      <sheetName val="Акт невозврата Вышки"/>
      <sheetName val="Перерасчет"/>
      <sheetName val="реквизиты"/>
      <sheetName val="Доп"/>
      <sheetName val="расценки"/>
      <sheetName val="ремонт"/>
      <sheetName val="Сдача"/>
    </sheetNames>
    <sheetDataSet>
      <sheetData sheetId="0"/>
      <sheetData sheetId="1" refreshError="1"/>
      <sheetData sheetId="2" refreshError="1"/>
      <sheetData sheetId="3" refreshError="1"/>
      <sheetData sheetId="4" refreshError="1"/>
      <sheetData sheetId="5">
        <row r="222">
          <cell r="AI222">
            <v>300</v>
          </cell>
        </row>
        <row r="223">
          <cell r="AI223">
            <v>350</v>
          </cell>
        </row>
        <row r="224">
          <cell r="AI224">
            <v>100</v>
          </cell>
        </row>
        <row r="225">
          <cell r="AI225">
            <v>50</v>
          </cell>
        </row>
        <row r="226">
          <cell r="AI226">
            <v>100</v>
          </cell>
        </row>
        <row r="227">
          <cell r="AI227">
            <v>350</v>
          </cell>
        </row>
        <row r="228">
          <cell r="AI228">
            <v>100</v>
          </cell>
        </row>
        <row r="229">
          <cell r="AI229">
            <v>50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ables/table1.xml><?xml version="1.0" encoding="utf-8"?>
<table xmlns="http://schemas.openxmlformats.org/spreadsheetml/2006/main" id="3" name="Таблица3" displayName="Таблица3" ref="AA1:AA56" totalsRowShown="0">
  <autoFilter ref="AA1:AA56"/>
  <tableColumns count="1">
    <tableColumn id="1" name="Длина"/>
  </tableColumns>
  <tableStyleInfo name="TableStyleMedium1" showFirstColumn="0" showLastColumn="0" showRowStripes="1" showColumnStripes="0"/>
</table>
</file>

<file path=xl/tables/table2.xml><?xml version="1.0" encoding="utf-8"?>
<table xmlns="http://schemas.openxmlformats.org/spreadsheetml/2006/main" id="4" name="Таблица4" displayName="Таблица4" ref="AB1:AB22" totalsRowShown="0">
  <autoFilter ref="AB1:AB22"/>
  <tableColumns count="1">
    <tableColumn id="1" name="Высота"/>
  </tableColumns>
  <tableStyleInfo name="TableStyleMedium1" showFirstColumn="0" showLastColumn="0" showRowStripes="1" showColumnStripes="0"/>
</table>
</file>

<file path=xl/tables/table3.xml><?xml version="1.0" encoding="utf-8"?>
<table xmlns="http://schemas.openxmlformats.org/spreadsheetml/2006/main" id="2" name="Договор" displayName="Договор" ref="Y1:Y4" totalsRowShown="0">
  <autoFilter ref="Y1:Y4"/>
  <tableColumns count="1">
    <tableColumn id="1" name="Договор"/>
  </tableColumns>
  <tableStyleInfo name="TableStyleMedium8" showFirstColumn="0" showLastColumn="0" showRowStripes="1" showColumnStripes="0"/>
</table>
</file>

<file path=xl/tables/table4.xml><?xml version="1.0" encoding="utf-8"?>
<table xmlns="http://schemas.openxmlformats.org/spreadsheetml/2006/main" id="5" name="НДС" displayName="НДС" ref="Z1:Z3" totalsRowShown="0">
  <autoFilter ref="Z1:Z3"/>
  <tableColumns count="1">
    <tableColumn id="1" name="НДС"/>
  </tableColumns>
  <tableStyleInfo name="TableStyleMedium8" showFirstColumn="0" showLastColumn="0" showRowStripes="1" showColumnStripes="0"/>
</table>
</file>

<file path=xl/tables/table5.xml><?xml version="1.0" encoding="utf-8"?>
<table xmlns="http://schemas.openxmlformats.org/spreadsheetml/2006/main" id="7" name="Диагонали" displayName="Диагонали" ref="AL16:AL19" totalsRowCount="1">
  <autoFilter ref="AL16:AL18"/>
  <tableColumns count="1">
    <tableColumn id="1" name="Диагонали" totalsRowDxfId="26"/>
  </tableColumns>
  <tableStyleInfo name="TableStyleLight1" showFirstColumn="0" showLastColumn="0" showRowStripes="1" showColumnStripes="0"/>
</table>
</file>

<file path=xl/tables/table6.xml><?xml version="1.0" encoding="utf-8"?>
<table xmlns="http://schemas.openxmlformats.org/spreadsheetml/2006/main" id="8" name="Город" displayName="Город" ref="AF21:AF25" totalsRowShown="0">
  <autoFilter ref="AF21:AF25"/>
  <tableColumns count="1">
    <tableColumn id="1" name="Город"/>
  </tableColumns>
  <tableStyleInfo name="TableStyleLight8" showFirstColumn="0" showLastColumn="0" showRowStripes="1" showColumnStripes="0"/>
</table>
</file>

<file path=xl/tables/table7.xml><?xml version="1.0" encoding="utf-8"?>
<table xmlns="http://schemas.openxmlformats.org/spreadsheetml/2006/main" id="1" name="ВысотаПолная" displayName="ВысотаПолная" ref="B12:B28" totalsRowShown="0" headerRowDxfId="25" dataDxfId="23" headerRowBorderDxfId="24" tableBorderDxfId="22" totalsRowBorderDxfId="21">
  <tableColumns count="1">
    <tableColumn id="1" name="Высота полная, м" dataDxfId="20"/>
  </tableColumns>
  <tableStyleInfo name="TableStyleLight6" showFirstColumn="0" showLastColumn="0" showRowStripes="0" showColumnStripes="0"/>
</table>
</file>

<file path=xl/tables/table8.xml><?xml version="1.0" encoding="utf-8"?>
<table xmlns="http://schemas.openxmlformats.org/spreadsheetml/2006/main" id="6" name="Достигаемая" displayName="Достигаемая" ref="D12:D28" totalsRowShown="0" headerRowDxfId="19" dataDxfId="17" headerRowBorderDxfId="18" tableBorderDxfId="16" totalsRowBorderDxfId="15">
  <tableColumns count="1">
    <tableColumn id="1" name="Достигаемая высота, м" dataDxfId="14"/>
  </tableColumns>
  <tableStyleInfo name="TableStyleLight10" showFirstColumn="0" showLastColumn="0" showRowStripes="1" showColumnStripes="0"/>
</table>
</file>

<file path=xl/tables/table9.xml><?xml version="1.0" encoding="utf-8"?>
<table xmlns="http://schemas.openxmlformats.org/spreadsheetml/2006/main" id="9" name="Города" displayName="Города" ref="Y13:Y17" totalsRowShown="0">
  <autoFilter ref="Y13:Y17"/>
  <tableColumns count="1">
    <tableColumn id="1" name="Город"/>
  </tableColumns>
  <tableStyleInfo name="TableStyleLight8" showFirstColumn="0" showLastColumn="0" showRowStripes="1" showColumnStripes="0"/>
</table>
</file>

<file path=xl/tables/table10.xml><?xml version="1.0" encoding="utf-8"?>
<table xmlns="http://schemas.openxmlformats.org/spreadsheetml/2006/main" id="10" name="Вышки" displayName="Вышки" ref="V14:V16" totalsRowShown="0">
  <autoFilter ref="V14:V16"/>
  <tableColumns count="1">
    <tableColumn id="1" name="Столбец1"/>
  </tableColumns>
  <tableStyleInfo name="TableStyleMedium10" showFirstColumn="0" showLastColumn="0" showRowStripes="1" showColumnStripes="0"/>
</table>
</file>

<file path=xl/tables/table11.xml><?xml version="1.0" encoding="utf-8"?>
<table xmlns="http://schemas.openxmlformats.org/spreadsheetml/2006/main" id="11" name="ВЛИЦЕ" displayName="ВЛИЦЕ" ref="V2:V9" totalsRowShown="0" headerRowDxfId="13">
  <autoFilter ref="V2:V9"/>
  <tableColumns count="1">
    <tableColumn id="1" name="В Лице"/>
  </tableColumns>
  <tableStyleInfo name="TableStyleMedium9" showFirstColumn="0" showLastColumn="0" showRowStripes="1" showColumnStripes="0"/>
</table>
</file>

<file path=xl/tables/table12.xml><?xml version="1.0" encoding="utf-8"?>
<table xmlns="http://schemas.openxmlformats.org/spreadsheetml/2006/main" id="12" name="Действующий" displayName="Действующий" ref="X3:X8" totalsRowShown="0" headerRowDxfId="12">
  <autoFilter ref="X3:X8"/>
  <tableColumns count="1">
    <tableColumn id="1" name="Действующий"/>
  </tableColumns>
  <tableStyleInfo name="TableStyleMedium9"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hyperlink" Target="mailto:ekoryazhbin@mail.ru"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sheetPr codeName="Лист1">
    <pageSetUpPr fitToPage="1"/>
  </sheetPr>
  <dimension ref="A1:AM68"/>
  <sheetViews>
    <sheetView tabSelected="1" workbookViewId="0">
      <selection activeCell="T8" sqref="T8"/>
    </sheetView>
  </sheetViews>
  <sheetFormatPr defaultRowHeight="15"/>
  <cols>
    <col min="1" max="1" width="37" customWidth="1"/>
    <col min="2" max="2" width="12.7109375" customWidth="1"/>
    <col min="3" max="3" width="10.7109375" bestFit="1" customWidth="1"/>
    <col min="4" max="4" width="12.28515625" bestFit="1" customWidth="1"/>
    <col min="5" max="6" width="0.7109375" customWidth="1"/>
    <col min="7" max="7" width="6.5703125" customWidth="1"/>
    <col min="8" max="8" width="0.5703125" style="80" customWidth="1"/>
    <col min="9" max="9" width="11" customWidth="1"/>
    <col min="10" max="10" width="7.42578125" customWidth="1"/>
    <col min="11" max="11" width="8.7109375" customWidth="1"/>
    <col min="12" max="12" width="10.42578125" customWidth="1"/>
    <col min="13" max="13" width="7.42578125" bestFit="1" customWidth="1"/>
    <col min="14" max="14" width="12.28515625" customWidth="1"/>
    <col min="15" max="15" width="13.28515625" customWidth="1"/>
    <col min="16" max="16" width="5.5703125" customWidth="1"/>
    <col min="17" max="17" width="6.7109375" customWidth="1"/>
    <col min="18" max="18" width="7.42578125" bestFit="1" customWidth="1"/>
    <col min="19" max="19" width="9" bestFit="1" customWidth="1"/>
    <col min="25" max="25" width="9.5703125" bestFit="1" customWidth="1"/>
    <col min="26" max="26" width="10.28515625" customWidth="1"/>
    <col min="27" max="28" width="10.42578125" customWidth="1"/>
    <col min="29" max="29" width="1.5703125" customWidth="1"/>
    <col min="30" max="30" width="1.7109375" customWidth="1"/>
    <col min="31" max="31" width="11.7109375" bestFit="1" customWidth="1"/>
    <col min="32" max="32" width="12" customWidth="1"/>
    <col min="33" max="33" width="10.28515625" customWidth="1"/>
    <col min="34" max="34" width="12" customWidth="1"/>
    <col min="35" max="35" width="14.7109375" customWidth="1"/>
    <col min="36" max="36" width="12.28515625" customWidth="1"/>
    <col min="37" max="37" width="11.28515625" customWidth="1"/>
    <col min="38" max="38" width="15.28515625" customWidth="1"/>
    <col min="39" max="39" width="12.7109375" customWidth="1"/>
  </cols>
  <sheetData>
    <row r="1" spans="1:39" ht="17.25" customHeight="1" thickBot="1">
      <c r="A1" s="439" t="s">
        <v>0</v>
      </c>
      <c r="B1" s="436" t="s">
        <v>1</v>
      </c>
      <c r="C1" s="437"/>
      <c r="D1" s="438"/>
      <c r="I1" s="436" t="s">
        <v>2</v>
      </c>
      <c r="J1" s="437"/>
      <c r="K1" s="437"/>
      <c r="L1" s="437"/>
      <c r="M1" s="438"/>
      <c r="N1" s="2" t="s">
        <v>456</v>
      </c>
      <c r="O1" s="257" t="s">
        <v>452</v>
      </c>
      <c r="P1" s="251" t="s">
        <v>457</v>
      </c>
      <c r="Q1" s="201">
        <f>IF(O1="Екатеринбург",AG22,IF(O1="Челябинск",AG23,IF(O1="Новосибирск",AG25,IF(O1="Пермь",AG24))))</f>
        <v>1</v>
      </c>
      <c r="Y1" t="s">
        <v>29</v>
      </c>
      <c r="Z1" t="s">
        <v>74</v>
      </c>
      <c r="AA1" t="s">
        <v>3</v>
      </c>
      <c r="AB1" t="s">
        <v>4</v>
      </c>
      <c r="AE1" s="51"/>
      <c r="AF1" s="51" t="s">
        <v>5</v>
      </c>
      <c r="AG1" s="51" t="s">
        <v>345</v>
      </c>
      <c r="AH1" s="51" t="s">
        <v>6</v>
      </c>
      <c r="AI1" s="51" t="s">
        <v>7</v>
      </c>
      <c r="AJ1" s="51" t="s">
        <v>8</v>
      </c>
      <c r="AK1" s="64" t="s">
        <v>77</v>
      </c>
      <c r="AL1" s="51" t="s">
        <v>9</v>
      </c>
      <c r="AM1" s="51" t="s">
        <v>10</v>
      </c>
    </row>
    <row r="2" spans="1:39" ht="15.75" thickBot="1">
      <c r="A2" s="440"/>
      <c r="B2" s="50" t="s">
        <v>11</v>
      </c>
      <c r="C2" s="62">
        <f>IF(AND(C4&lt;=7,L12&lt;=50),AH2,IF(AND(C4&lt;=14,L12&lt;=50),AI2,IF(AND(C4&lt;=30,L12&lt;=50),AJ2,IF(AND(C4&lt;=45,L12&lt;=50),AK2,IF(AND(C4&lt;=60,L12&lt;=50),AL2,IF(AND(C4&gt;60,L12&lt;=50),AM2, IF(AND(C4&lt;=7,L12&lt;=100),AH3, IF(AND(C4&lt;=14,L12&lt;=100),AI3, IF(AND(C4&lt;=30,L12&lt;=100),AJ3,IF(AND(C4&lt;=45,L12&lt;=100),AK3, IF(AND(C4&lt;=60,L12&lt;=100),AL3, IF(AND(C4&gt;60,L12&lt;=100),AM3, IF(AND(C4&lt;=7,L12&lt;=300),AH4, IF(AND(C4&lt;=14,L12&lt;=300),AI4, IF(AND(C4&lt;=30,L12&lt;=300),AJ4,IF(AND(C4&lt;=45,L12&lt;=300),AK4, IF(AND(C4&lt;=60,L12&lt;=300),AL4, IF(AND(C4&gt;60,L12&lt;=300),AM4, IF(AND(C4&lt;=7,L12&lt;=500),AH5, IF(AND(C4&lt;=14,L12&lt;=500),AI5, IF(AND(C4&lt;=30,L12&lt;=500),AJ5,IF(AND(C4&lt;=45,L12&lt;=500),AK5, IF(AND(C4&lt;=60,L12&lt;=500),AL5, IF(AND(C4&gt;60,L12&lt;=500),AM5, IF(AND(C4&lt;=7,L12&lt;=1000),AH6, IF(AND(C4&lt;=14,L12&lt;=1000),AI6, IF(AND(C4&lt;=30,L12&lt;=1000),AJ6,IF(AND(C4&lt;=45,L12&lt;=1000),AK6, IF(AND(C4&lt;=60,L12&lt;=1000),AL6, IF(AND(C4&gt;60,L12&lt;=1000),AM6, IF(AND(C4&lt;=7,L12&gt;1000),AH7, IF(AND(C4&lt;=14,L12&gt;1000),AI7, IF(AND(C4&lt;=30,L12&gt;1000),AJ7, IF(AND(C4&lt;=45,L12&gt;1000),AK7, IF(AND(C4&lt;=60,L12&gt;1000),AL7, IF(AND(C4&gt;60,L12&gt;1000),AM7, "нету" ))))))))))))))))))))))))))))))))))))*Q1+Q21</f>
        <v>3.2</v>
      </c>
      <c r="D2" s="12" t="s">
        <v>12</v>
      </c>
      <c r="I2" s="18"/>
      <c r="J2" s="19" t="s">
        <v>13</v>
      </c>
      <c r="K2" s="19" t="s">
        <v>14</v>
      </c>
      <c r="L2" s="20" t="s">
        <v>15</v>
      </c>
      <c r="M2" s="21" t="s">
        <v>16</v>
      </c>
      <c r="N2" s="2" t="s">
        <v>17</v>
      </c>
      <c r="O2" s="258">
        <v>0</v>
      </c>
      <c r="Q2" t="s">
        <v>541</v>
      </c>
      <c r="S2" s="131">
        <v>1.2</v>
      </c>
      <c r="T2" s="333" t="s">
        <v>559</v>
      </c>
      <c r="V2" s="334">
        <f>IF(B8=B9,1.7,1)</f>
        <v>1.7</v>
      </c>
      <c r="Y2" t="s">
        <v>72</v>
      </c>
      <c r="Z2" s="25" t="s">
        <v>75</v>
      </c>
      <c r="AA2">
        <v>0</v>
      </c>
      <c r="AB2">
        <v>0</v>
      </c>
      <c r="AE2" s="52">
        <v>1</v>
      </c>
      <c r="AF2" s="53" t="s">
        <v>18</v>
      </c>
      <c r="AG2" s="209">
        <v>10</v>
      </c>
      <c r="AH2" s="54">
        <v>8</v>
      </c>
      <c r="AI2" s="54">
        <v>4.5</v>
      </c>
      <c r="AJ2" s="54">
        <v>3.2</v>
      </c>
      <c r="AK2" s="54">
        <v>2.5</v>
      </c>
      <c r="AL2" s="55">
        <v>2</v>
      </c>
      <c r="AM2" s="55">
        <v>1.6</v>
      </c>
    </row>
    <row r="3" spans="1:39" ht="15.75" thickBot="1">
      <c r="A3" s="440"/>
      <c r="B3" s="6" t="s">
        <v>19</v>
      </c>
      <c r="C3" s="259">
        <f>ROUNDUP((C2*L12*S2*V2+L21*S2+Q22),-1)</f>
        <v>210</v>
      </c>
      <c r="D3" s="7" t="s">
        <v>20</v>
      </c>
      <c r="I3" s="22" t="s">
        <v>21</v>
      </c>
      <c r="J3" s="58">
        <v>3</v>
      </c>
      <c r="K3" s="59">
        <v>8</v>
      </c>
      <c r="L3" s="4">
        <f>J3*K3</f>
        <v>24</v>
      </c>
      <c r="M3" s="23">
        <f>L3/3</f>
        <v>8</v>
      </c>
      <c r="N3" s="2" t="s">
        <v>22</v>
      </c>
      <c r="O3" s="2">
        <f>AJ25*150</f>
        <v>300</v>
      </c>
      <c r="Q3" s="147" t="s">
        <v>339</v>
      </c>
      <c r="R3" s="147" t="s">
        <v>340</v>
      </c>
      <c r="Y3" t="s">
        <v>71</v>
      </c>
      <c r="Z3" s="25" t="s">
        <v>534</v>
      </c>
      <c r="AA3">
        <v>3</v>
      </c>
      <c r="AB3">
        <v>2</v>
      </c>
      <c r="AE3" s="52">
        <v>2</v>
      </c>
      <c r="AF3" s="53" t="s">
        <v>23</v>
      </c>
      <c r="AG3" s="209">
        <v>8</v>
      </c>
      <c r="AH3" s="54">
        <v>5</v>
      </c>
      <c r="AI3" s="54">
        <v>3.7</v>
      </c>
      <c r="AJ3" s="54">
        <v>2.7</v>
      </c>
      <c r="AK3" s="54">
        <v>2</v>
      </c>
      <c r="AL3" s="54">
        <v>1.65</v>
      </c>
      <c r="AM3" s="55">
        <v>1.4</v>
      </c>
    </row>
    <row r="4" spans="1:39" ht="15.75" thickBot="1">
      <c r="A4" s="440"/>
      <c r="B4" s="13" t="s">
        <v>24</v>
      </c>
      <c r="C4" s="260">
        <v>30</v>
      </c>
      <c r="D4" s="14"/>
      <c r="I4" s="22"/>
      <c r="J4" s="24">
        <f>J3/3</f>
        <v>1</v>
      </c>
      <c r="K4" s="24">
        <f>K3/2</f>
        <v>4</v>
      </c>
      <c r="L4" s="5"/>
      <c r="M4" s="206">
        <f>J4*K4</f>
        <v>4</v>
      </c>
      <c r="N4" s="2" t="s">
        <v>336</v>
      </c>
      <c r="O4" s="261">
        <v>50</v>
      </c>
      <c r="P4" t="s">
        <v>337</v>
      </c>
      <c r="Q4" s="147">
        <f>O4*2*O5</f>
        <v>1800</v>
      </c>
      <c r="R4" s="147">
        <f>Q4*1.18</f>
        <v>2124</v>
      </c>
      <c r="Y4" s="25" t="s">
        <v>234</v>
      </c>
      <c r="Z4" s="25"/>
      <c r="AA4">
        <v>6</v>
      </c>
      <c r="AB4">
        <v>4</v>
      </c>
      <c r="AE4" s="52">
        <v>3</v>
      </c>
      <c r="AF4" s="53" t="s">
        <v>25</v>
      </c>
      <c r="AG4" s="209">
        <v>5</v>
      </c>
      <c r="AH4" s="55">
        <v>4</v>
      </c>
      <c r="AI4" s="54">
        <v>2.8</v>
      </c>
      <c r="AJ4" s="54">
        <v>2.1</v>
      </c>
      <c r="AK4" s="54">
        <v>1.7</v>
      </c>
      <c r="AL4" s="54">
        <v>1.45</v>
      </c>
      <c r="AM4" s="54">
        <v>1.25</v>
      </c>
    </row>
    <row r="5" spans="1:39" ht="15.75" thickBot="1">
      <c r="A5" s="440"/>
      <c r="B5" s="15" t="s">
        <v>26</v>
      </c>
      <c r="C5" s="16">
        <f>ROUNDUP(D16/L12, 0)</f>
        <v>1269</v>
      </c>
      <c r="D5" s="17" t="s">
        <v>12</v>
      </c>
      <c r="I5" s="22" t="s">
        <v>27</v>
      </c>
      <c r="J5" s="60">
        <v>0</v>
      </c>
      <c r="K5" s="61">
        <v>0</v>
      </c>
      <c r="L5" s="4">
        <f>J5*K5</f>
        <v>0</v>
      </c>
      <c r="M5" s="23">
        <f>L5/3</f>
        <v>0</v>
      </c>
      <c r="N5" s="2" t="s">
        <v>338</v>
      </c>
      <c r="O5" s="262">
        <v>18</v>
      </c>
      <c r="Z5">
        <f>IF(O9="без НДС",0,1)</f>
        <v>1</v>
      </c>
      <c r="AA5">
        <v>9</v>
      </c>
      <c r="AB5">
        <v>6</v>
      </c>
      <c r="AE5" s="52">
        <v>4</v>
      </c>
      <c r="AF5" s="53" t="s">
        <v>28</v>
      </c>
      <c r="AG5" s="53"/>
      <c r="AH5" s="55">
        <v>3</v>
      </c>
      <c r="AI5" s="55">
        <v>2</v>
      </c>
      <c r="AJ5" s="54">
        <v>1.65</v>
      </c>
      <c r="AK5" s="54">
        <v>1.5</v>
      </c>
      <c r="AL5" s="54">
        <v>1.3</v>
      </c>
      <c r="AM5" s="54">
        <v>1.1000000000000001</v>
      </c>
    </row>
    <row r="6" spans="1:39" ht="15.75" thickBot="1">
      <c r="I6" s="22"/>
      <c r="J6" s="24">
        <f>J5/3</f>
        <v>0</v>
      </c>
      <c r="K6" s="24">
        <f>K5/2</f>
        <v>0</v>
      </c>
      <c r="L6" s="5"/>
      <c r="M6" s="206">
        <f>J6*K6</f>
        <v>0</v>
      </c>
      <c r="N6" s="2" t="s">
        <v>29</v>
      </c>
      <c r="O6" s="263" t="s">
        <v>234</v>
      </c>
      <c r="P6" s="147" t="s">
        <v>235</v>
      </c>
      <c r="Q6" s="203">
        <v>10</v>
      </c>
      <c r="AA6">
        <v>12</v>
      </c>
      <c r="AB6">
        <v>8</v>
      </c>
      <c r="AE6" s="52">
        <v>5</v>
      </c>
      <c r="AF6" s="53" t="s">
        <v>30</v>
      </c>
      <c r="AG6" s="53"/>
      <c r="AH6" s="55">
        <v>2.5</v>
      </c>
      <c r="AI6" s="55">
        <v>1.7</v>
      </c>
      <c r="AJ6" s="55">
        <v>1.4</v>
      </c>
      <c r="AK6" s="55">
        <v>1.25</v>
      </c>
      <c r="AL6" s="54">
        <v>1.1000000000000001</v>
      </c>
      <c r="AM6" s="54">
        <v>1</v>
      </c>
    </row>
    <row r="7" spans="1:39" ht="15.75" thickBot="1">
      <c r="A7" s="8" t="s">
        <v>31</v>
      </c>
      <c r="B7" s="8" t="s">
        <v>32</v>
      </c>
      <c r="C7" s="8" t="s">
        <v>33</v>
      </c>
      <c r="D7" s="8" t="s">
        <v>34</v>
      </c>
      <c r="E7" s="199" t="s">
        <v>73</v>
      </c>
      <c r="I7" s="22" t="s">
        <v>35</v>
      </c>
      <c r="J7" s="60">
        <v>0</v>
      </c>
      <c r="K7" s="61">
        <v>0</v>
      </c>
      <c r="L7" s="4">
        <f>J7*K7</f>
        <v>0</v>
      </c>
      <c r="M7" s="23">
        <f>L7/3</f>
        <v>0</v>
      </c>
      <c r="N7" s="2" t="s">
        <v>76</v>
      </c>
      <c r="O7">
        <f>Q6</f>
        <v>10</v>
      </c>
      <c r="P7" t="s">
        <v>73</v>
      </c>
      <c r="Y7">
        <f>IF(J3&lt;=18,0,IF(J3&lt;=39,0,0))</f>
        <v>0</v>
      </c>
      <c r="AA7">
        <v>15</v>
      </c>
      <c r="AB7">
        <v>10</v>
      </c>
      <c r="AE7" s="52">
        <v>6</v>
      </c>
      <c r="AF7" s="53" t="s">
        <v>36</v>
      </c>
      <c r="AG7" s="53"/>
      <c r="AH7" s="55">
        <v>2</v>
      </c>
      <c r="AI7" s="55">
        <v>1.5</v>
      </c>
      <c r="AJ7" s="55">
        <v>1.25</v>
      </c>
      <c r="AK7" s="55">
        <v>1.1000000000000001</v>
      </c>
      <c r="AL7" s="55">
        <v>1</v>
      </c>
      <c r="AM7" s="54">
        <v>0.9</v>
      </c>
    </row>
    <row r="8" spans="1:39" ht="15.75" thickBot="1">
      <c r="A8" s="3" t="s">
        <v>37</v>
      </c>
      <c r="B8" s="38">
        <f>(J16-J17)+(K16-K17)+(L16-L17)+(M16-M17)+(N16-N17)</f>
        <v>4</v>
      </c>
      <c r="C8" s="66">
        <f>AI32</f>
        <v>1400</v>
      </c>
      <c r="D8" s="3">
        <f t="shared" ref="D8:D15" si="0">B8*C8</f>
        <v>5600</v>
      </c>
      <c r="E8">
        <f t="shared" ref="E8:E13" si="1">D8*100/$D$16</f>
        <v>18.396846254927727</v>
      </c>
      <c r="F8">
        <f>$C$3/100*E8</f>
        <v>38.633377135348226</v>
      </c>
      <c r="G8">
        <f>IF(B8=0,0,F8/B8)</f>
        <v>9.6583442838370566</v>
      </c>
      <c r="I8" s="22"/>
      <c r="J8" s="24">
        <f>J7/3</f>
        <v>0</v>
      </c>
      <c r="K8" s="24">
        <f>K7/2</f>
        <v>0</v>
      </c>
      <c r="L8" s="5"/>
      <c r="M8" s="206">
        <f>J8*K8</f>
        <v>0</v>
      </c>
      <c r="N8" s="146" t="s">
        <v>530</v>
      </c>
      <c r="O8" s="1">
        <f>AI24</f>
        <v>375.6</v>
      </c>
      <c r="P8" t="s">
        <v>531</v>
      </c>
      <c r="Q8" t="s">
        <v>535</v>
      </c>
      <c r="R8">
        <f>O8/1400</f>
        <v>0.26828571428571429</v>
      </c>
      <c r="AA8">
        <v>18</v>
      </c>
      <c r="AB8">
        <v>12</v>
      </c>
      <c r="AE8" s="56"/>
      <c r="AF8" s="56"/>
      <c r="AG8" s="56"/>
      <c r="AH8" s="56"/>
      <c r="AI8" s="56"/>
      <c r="AJ8" s="56"/>
      <c r="AK8" s="56"/>
      <c r="AL8" s="56"/>
      <c r="AM8" s="56"/>
    </row>
    <row r="9" spans="1:39" ht="15.75" thickBot="1">
      <c r="A9" s="3" t="s">
        <v>38</v>
      </c>
      <c r="B9" s="39">
        <f>J17+K17+L17+M17+N17</f>
        <v>4</v>
      </c>
      <c r="C9" s="66">
        <f t="shared" ref="C9:C13" si="2">AI33</f>
        <v>1670</v>
      </c>
      <c r="D9" s="3">
        <f t="shared" si="0"/>
        <v>6680</v>
      </c>
      <c r="E9">
        <f t="shared" si="1"/>
        <v>21.944809461235216</v>
      </c>
      <c r="F9">
        <f t="shared" ref="F9:F13" si="3">$C$3/100*E9</f>
        <v>46.08409986859396</v>
      </c>
      <c r="G9">
        <f t="shared" ref="G9:G11" si="4">IF(B9=0,0,F9/B9)</f>
        <v>11.52102496714849</v>
      </c>
      <c r="I9" s="22" t="s">
        <v>39</v>
      </c>
      <c r="J9" s="60">
        <v>0</v>
      </c>
      <c r="K9" s="61">
        <v>0</v>
      </c>
      <c r="L9" s="4">
        <f>J9*K9</f>
        <v>0</v>
      </c>
      <c r="M9" s="23">
        <f>L9/3</f>
        <v>0</v>
      </c>
      <c r="N9" s="188" t="s">
        <v>349</v>
      </c>
      <c r="O9" s="312">
        <f>AJ24</f>
        <v>1.6848000000000001</v>
      </c>
      <c r="P9" t="s">
        <v>532</v>
      </c>
      <c r="Y9">
        <f>B8+B9</f>
        <v>8</v>
      </c>
      <c r="AA9">
        <v>21</v>
      </c>
      <c r="AB9">
        <v>14</v>
      </c>
      <c r="AE9" s="52" t="s">
        <v>40</v>
      </c>
      <c r="AF9" s="52" t="s">
        <v>41</v>
      </c>
      <c r="AG9" s="52"/>
      <c r="AH9" s="52">
        <v>18</v>
      </c>
      <c r="AI9" s="52">
        <v>13</v>
      </c>
      <c r="AJ9" s="52">
        <v>10</v>
      </c>
      <c r="AK9" s="52">
        <v>8</v>
      </c>
      <c r="AL9" s="52">
        <v>7</v>
      </c>
      <c r="AM9" s="52">
        <v>5</v>
      </c>
    </row>
    <row r="10" spans="1:39">
      <c r="A10" s="3" t="s">
        <v>42</v>
      </c>
      <c r="B10" s="9">
        <f>J19+K19+L19+M19+N19</f>
        <v>4</v>
      </c>
      <c r="C10" s="66">
        <f t="shared" si="2"/>
        <v>630</v>
      </c>
      <c r="D10" s="3">
        <f t="shared" si="0"/>
        <v>2520</v>
      </c>
      <c r="E10">
        <f t="shared" si="1"/>
        <v>8.2785808147174773</v>
      </c>
      <c r="F10">
        <f t="shared" si="3"/>
        <v>17.385019710906704</v>
      </c>
      <c r="G10">
        <f t="shared" si="4"/>
        <v>4.346254927726676</v>
      </c>
      <c r="I10" s="22"/>
      <c r="J10" s="24">
        <f>J9/3</f>
        <v>0</v>
      </c>
      <c r="K10" s="24">
        <f>K9/2</f>
        <v>0</v>
      </c>
      <c r="L10" s="25"/>
      <c r="M10" s="300">
        <f>J10*K10</f>
        <v>0</v>
      </c>
      <c r="AA10">
        <v>24</v>
      </c>
      <c r="AB10">
        <v>16</v>
      </c>
      <c r="AE10" s="57"/>
      <c r="AF10" s="57"/>
      <c r="AG10" s="57"/>
      <c r="AH10" s="57"/>
      <c r="AI10" s="57"/>
      <c r="AJ10" s="57"/>
      <c r="AK10" s="57"/>
      <c r="AL10" s="57"/>
      <c r="AM10" s="57"/>
    </row>
    <row r="11" spans="1:39" ht="15.75" thickBot="1">
      <c r="A11" s="3" t="s">
        <v>43</v>
      </c>
      <c r="B11" s="3">
        <f>J18+K18+L18+M18+N18</f>
        <v>4</v>
      </c>
      <c r="C11" s="66">
        <f t="shared" si="2"/>
        <v>320</v>
      </c>
      <c r="D11" s="3">
        <f t="shared" si="0"/>
        <v>1280</v>
      </c>
      <c r="E11">
        <f t="shared" si="1"/>
        <v>4.2049934296977662</v>
      </c>
      <c r="F11">
        <f t="shared" si="3"/>
        <v>8.830486202365309</v>
      </c>
      <c r="G11">
        <f t="shared" si="4"/>
        <v>2.2076215505913273</v>
      </c>
      <c r="I11" s="22"/>
      <c r="J11" s="25"/>
      <c r="K11" s="25"/>
      <c r="L11" s="25"/>
      <c r="M11" s="14"/>
      <c r="N11" s="146" t="s">
        <v>231</v>
      </c>
      <c r="O11" s="264" t="s">
        <v>232</v>
      </c>
      <c r="AA11">
        <v>27</v>
      </c>
      <c r="AB11">
        <v>18</v>
      </c>
      <c r="AE11" s="52"/>
      <c r="AF11" s="52"/>
      <c r="AG11" s="52"/>
      <c r="AH11" s="52"/>
      <c r="AI11" s="52"/>
      <c r="AJ11" s="52"/>
      <c r="AK11" s="52"/>
      <c r="AL11" s="52"/>
      <c r="AM11" s="52"/>
    </row>
    <row r="12" spans="1:39" ht="21.75" thickBot="1">
      <c r="A12" s="3" t="s">
        <v>45</v>
      </c>
      <c r="B12" s="3">
        <f>J21*3</f>
        <v>12</v>
      </c>
      <c r="C12" s="66">
        <f t="shared" si="2"/>
        <v>450</v>
      </c>
      <c r="D12" s="3">
        <f t="shared" si="0"/>
        <v>5400</v>
      </c>
      <c r="E12">
        <f t="shared" si="1"/>
        <v>17.739816031537451</v>
      </c>
      <c r="F12">
        <f t="shared" si="3"/>
        <v>37.253613666228652</v>
      </c>
      <c r="G12">
        <f>IF(B12=0,0,F12/B12)</f>
        <v>3.1044678055190542</v>
      </c>
      <c r="I12" s="26" t="s">
        <v>46</v>
      </c>
      <c r="J12" s="27"/>
      <c r="K12" s="27"/>
      <c r="L12" s="67">
        <f>L3+L5+L7+L9</f>
        <v>24</v>
      </c>
      <c r="M12" s="17" t="s">
        <v>47</v>
      </c>
      <c r="AA12">
        <v>30</v>
      </c>
      <c r="AB12">
        <v>20</v>
      </c>
      <c r="AE12" s="52"/>
      <c r="AF12" s="52"/>
      <c r="AG12" s="52"/>
      <c r="AH12" s="52"/>
      <c r="AI12" s="52"/>
      <c r="AJ12" s="52"/>
      <c r="AK12" s="52"/>
      <c r="AL12" s="52"/>
      <c r="AM12" s="52"/>
    </row>
    <row r="13" spans="1:39" ht="15.75" thickBot="1">
      <c r="A13" s="3" t="s">
        <v>70</v>
      </c>
      <c r="B13" s="3">
        <f>J21*2</f>
        <v>8</v>
      </c>
      <c r="C13" s="66">
        <f t="shared" si="2"/>
        <v>1120</v>
      </c>
      <c r="D13" s="3">
        <f t="shared" si="0"/>
        <v>8960</v>
      </c>
      <c r="E13">
        <f t="shared" si="1"/>
        <v>29.434954007884361</v>
      </c>
      <c r="F13">
        <f t="shared" si="3"/>
        <v>61.813403416557158</v>
      </c>
      <c r="G13">
        <f>IF(B13=0,0,F13/B13)</f>
        <v>7.7266754270696447</v>
      </c>
      <c r="N13" s="314" t="s">
        <v>533</v>
      </c>
      <c r="Q13" s="160">
        <f>O4*2*15+2*520</f>
        <v>2540</v>
      </c>
      <c r="R13">
        <f>Q13*1.2</f>
        <v>3048</v>
      </c>
      <c r="AA13">
        <v>33</v>
      </c>
      <c r="AB13">
        <v>22</v>
      </c>
      <c r="AG13" s="270">
        <v>4</v>
      </c>
      <c r="AH13" s="270">
        <v>7</v>
      </c>
      <c r="AI13" s="270">
        <v>14</v>
      </c>
      <c r="AJ13" s="270">
        <v>30</v>
      </c>
      <c r="AK13" s="270">
        <v>45</v>
      </c>
      <c r="AL13" s="270">
        <v>60</v>
      </c>
      <c r="AM13" s="270">
        <v>60</v>
      </c>
    </row>
    <row r="14" spans="1:39">
      <c r="A14" s="40" t="s">
        <v>634</v>
      </c>
      <c r="B14" s="415">
        <v>0</v>
      </c>
      <c r="C14" s="3">
        <v>200</v>
      </c>
      <c r="D14" s="3">
        <f t="shared" si="0"/>
        <v>0</v>
      </c>
      <c r="G14" s="2"/>
      <c r="I14" s="433" t="s">
        <v>49</v>
      </c>
      <c r="J14" s="434"/>
      <c r="K14" s="434"/>
      <c r="L14" s="434"/>
      <c r="M14" s="435"/>
      <c r="AA14">
        <v>36</v>
      </c>
      <c r="AB14">
        <v>24</v>
      </c>
    </row>
    <row r="15" spans="1:39">
      <c r="A15" s="40" t="s">
        <v>635</v>
      </c>
      <c r="B15" s="415">
        <v>0</v>
      </c>
      <c r="C15" s="3">
        <v>150</v>
      </c>
      <c r="D15" s="3">
        <f t="shared" si="0"/>
        <v>0</v>
      </c>
      <c r="I15" s="30"/>
      <c r="J15" s="28" t="s">
        <v>50</v>
      </c>
      <c r="K15" s="28" t="s">
        <v>51</v>
      </c>
      <c r="L15" s="28" t="s">
        <v>52</v>
      </c>
      <c r="M15" s="31" t="s">
        <v>53</v>
      </c>
      <c r="N15" s="37" t="s">
        <v>54</v>
      </c>
      <c r="AA15">
        <v>39</v>
      </c>
      <c r="AB15">
        <v>26</v>
      </c>
    </row>
    <row r="16" spans="1:39">
      <c r="A16" s="3" t="s">
        <v>48</v>
      </c>
      <c r="B16" s="3"/>
      <c r="C16" s="3"/>
      <c r="D16" s="3">
        <f>SUM(D8:D15)</f>
        <v>30440</v>
      </c>
      <c r="I16" s="30" t="s">
        <v>56</v>
      </c>
      <c r="J16" s="29">
        <f>(J4+1)*K4</f>
        <v>8</v>
      </c>
      <c r="K16" s="29">
        <f>(J6+1)*K6</f>
        <v>0</v>
      </c>
      <c r="L16" s="29">
        <f>(J8+1)*K8</f>
        <v>0</v>
      </c>
      <c r="M16" s="32">
        <f>(J10+1)*K10</f>
        <v>0</v>
      </c>
      <c r="N16" s="36">
        <v>0</v>
      </c>
      <c r="P16" s="198"/>
      <c r="AA16">
        <v>42</v>
      </c>
      <c r="AB16">
        <v>28</v>
      </c>
      <c r="AI16" s="8" t="s">
        <v>194</v>
      </c>
      <c r="AJ16" s="8" t="s">
        <v>527</v>
      </c>
      <c r="AL16" t="s">
        <v>231</v>
      </c>
    </row>
    <row r="17" spans="1:39" ht="23.25">
      <c r="A17" s="416" t="str">
        <f>CONCATENATE("Стоимость залога за оборудование составляет ",  O7, "% от общей рыночной стоимости")</f>
        <v>Стоимость залога за оборудование составляет 10% от общей рыночной стоимости</v>
      </c>
      <c r="B17" s="3"/>
      <c r="C17" s="3"/>
      <c r="D17" s="11">
        <f>ROUNDUP(D16/100*O7,-2)+Q23</f>
        <v>3100</v>
      </c>
      <c r="I17" s="30" t="s">
        <v>58</v>
      </c>
      <c r="J17" s="34">
        <f>K4*1+K4*Y7</f>
        <v>4</v>
      </c>
      <c r="K17" s="34">
        <f>K6*1+K6*Y7</f>
        <v>0</v>
      </c>
      <c r="L17" s="34">
        <f>K8*1+K8*Y7</f>
        <v>0</v>
      </c>
      <c r="M17" s="35">
        <f>K10*1+K10*Y7</f>
        <v>0</v>
      </c>
      <c r="N17" s="36">
        <v>0</v>
      </c>
      <c r="AA17">
        <v>45</v>
      </c>
      <c r="AB17">
        <v>30</v>
      </c>
      <c r="AH17">
        <v>9.6999999999999993</v>
      </c>
      <c r="AI17" s="29">
        <f>10*B8</f>
        <v>40</v>
      </c>
      <c r="AJ17" s="29">
        <f>0.1*B8</f>
        <v>0.4</v>
      </c>
      <c r="AL17" t="s">
        <v>232</v>
      </c>
    </row>
    <row r="18" spans="1:39">
      <c r="A18" s="3" t="s">
        <v>55</v>
      </c>
      <c r="B18" s="3"/>
      <c r="C18" s="3"/>
      <c r="D18" s="40">
        <f>O2</f>
        <v>0</v>
      </c>
      <c r="I18" s="30" t="s">
        <v>236</v>
      </c>
      <c r="J18" s="29">
        <f>CEILING(J4*K4*AL22,1)</f>
        <v>4</v>
      </c>
      <c r="K18" s="29">
        <f>CEILING(J6*K6*AL22,1)</f>
        <v>0</v>
      </c>
      <c r="L18" s="29">
        <f>CEILING(J8*K8*AL22,1)</f>
        <v>0</v>
      </c>
      <c r="M18" s="32">
        <f>CEILING(J10*K10*AL22,1)</f>
        <v>0</v>
      </c>
      <c r="N18" s="36">
        <v>0</v>
      </c>
      <c r="AA18">
        <v>48</v>
      </c>
      <c r="AB18">
        <v>32</v>
      </c>
      <c r="AH18">
        <v>11.7</v>
      </c>
      <c r="AI18" s="29">
        <f>11.7*B9</f>
        <v>46.8</v>
      </c>
      <c r="AJ18" s="29">
        <f t="shared" ref="AJ18" si="5">0.1*B9</f>
        <v>0.4</v>
      </c>
      <c r="AL18" t="s">
        <v>233</v>
      </c>
    </row>
    <row r="19" spans="1:39" ht="15.75" thickBot="1">
      <c r="A19" s="3" t="s">
        <v>57</v>
      </c>
      <c r="B19" s="3"/>
      <c r="C19" s="3"/>
      <c r="D19" s="40">
        <f>O2</f>
        <v>0</v>
      </c>
      <c r="I19" s="41" t="s">
        <v>61</v>
      </c>
      <c r="J19" s="42">
        <f>CEILING(J4*K4/AL21,1)</f>
        <v>4</v>
      </c>
      <c r="K19" s="42">
        <f>CEILING(J6*K6/AL21,1)</f>
        <v>0</v>
      </c>
      <c r="L19" s="42">
        <f>CEILING(J8*K8/AL21,1)</f>
        <v>0</v>
      </c>
      <c r="M19" s="43">
        <f>CEILING(J10*K10/AL21,1)</f>
        <v>0</v>
      </c>
      <c r="N19" s="36">
        <v>0</v>
      </c>
      <c r="AA19">
        <v>51</v>
      </c>
      <c r="AB19">
        <v>34</v>
      </c>
      <c r="AH19">
        <v>5.6</v>
      </c>
      <c r="AI19" s="29">
        <f>5.6*B10</f>
        <v>22.4</v>
      </c>
      <c r="AJ19" s="29">
        <f>0.0019*B10</f>
        <v>7.6E-3</v>
      </c>
      <c r="AL19" s="25"/>
    </row>
    <row r="20" spans="1:39" ht="13.5" customHeight="1">
      <c r="A20" s="3" t="s">
        <v>59</v>
      </c>
      <c r="B20" s="3"/>
      <c r="C20" s="3"/>
      <c r="D20" s="40">
        <v>0</v>
      </c>
      <c r="I20" s="44" t="s">
        <v>62</v>
      </c>
      <c r="J20" s="45" t="s">
        <v>63</v>
      </c>
      <c r="K20" s="45" t="s">
        <v>64</v>
      </c>
      <c r="L20" s="45" t="s">
        <v>65</v>
      </c>
      <c r="M20" s="46"/>
      <c r="O20" s="429" t="s">
        <v>255</v>
      </c>
      <c r="P20" s="430"/>
      <c r="Q20" s="431"/>
      <c r="S20" s="87" t="s">
        <v>347</v>
      </c>
      <c r="AA20">
        <v>54</v>
      </c>
      <c r="AB20">
        <v>36</v>
      </c>
      <c r="AH20">
        <v>2.6</v>
      </c>
      <c r="AI20" s="29">
        <f>2.6*B11</f>
        <v>10.4</v>
      </c>
      <c r="AJ20" s="29">
        <f>0.0041*B11</f>
        <v>1.6400000000000001E-2</v>
      </c>
    </row>
    <row r="21" spans="1:39" ht="15.75" thickBot="1">
      <c r="A21" s="3" t="s">
        <v>60</v>
      </c>
      <c r="B21" s="3"/>
      <c r="C21" s="3"/>
      <c r="D21" s="40">
        <v>0</v>
      </c>
      <c r="I21" s="33"/>
      <c r="J21" s="65">
        <v>4</v>
      </c>
      <c r="K21" s="47">
        <f>IF(AND(C4&lt;=7),AH9,IF(AND(C4&lt;=14),AI9,IF(AND(C4&lt;=30),AJ9,IF(AND(C4&lt;=45),AK9,IF(AND(C4&lt;=60),AL9, IF(AND(C4&gt;60),AM9, "нету"))))))+Q24</f>
        <v>10</v>
      </c>
      <c r="L21" s="48">
        <f>J21*K21</f>
        <v>40</v>
      </c>
      <c r="M21" s="49"/>
      <c r="O21" s="139" t="s">
        <v>226</v>
      </c>
      <c r="P21" s="211"/>
      <c r="Q21" s="28">
        <v>0</v>
      </c>
      <c r="R21" s="138" t="s">
        <v>228</v>
      </c>
      <c r="S21" s="210"/>
      <c r="AA21">
        <v>57</v>
      </c>
      <c r="AB21">
        <v>38</v>
      </c>
      <c r="AF21" t="s">
        <v>94</v>
      </c>
      <c r="AI21" s="29">
        <f>15*B12</f>
        <v>180</v>
      </c>
      <c r="AJ21" s="29">
        <f>0.068*B12</f>
        <v>0.81600000000000006</v>
      </c>
      <c r="AL21">
        <f>IF(O11="В каждую",1,2)</f>
        <v>1</v>
      </c>
    </row>
    <row r="22" spans="1:39" ht="23.25" customHeight="1">
      <c r="A22" s="417" t="str">
        <f>CONCATENATE("Стоимость аренды всего оборудования за ", C4," суток согласно п. 3.1 договора")</f>
        <v>Стоимость аренды всего оборудования за 30 суток согласно п. 3.1 договора</v>
      </c>
      <c r="B22" s="3"/>
      <c r="C22" s="3"/>
      <c r="D22" s="274">
        <f>((C3)*C4)+Q27</f>
        <v>6300</v>
      </c>
      <c r="E22" s="1"/>
      <c r="I22" s="298" t="s">
        <v>495</v>
      </c>
      <c r="J22" s="299">
        <f>M4+M6+M8+M10</f>
        <v>4</v>
      </c>
      <c r="O22" s="139" t="s">
        <v>227</v>
      </c>
      <c r="P22" s="211">
        <f>S22-C3</f>
        <v>-210</v>
      </c>
      <c r="Q22" s="265">
        <v>0</v>
      </c>
      <c r="R22" s="138" t="s">
        <v>228</v>
      </c>
      <c r="S22" s="210">
        <v>0</v>
      </c>
      <c r="AA22">
        <v>60</v>
      </c>
      <c r="AB22">
        <v>40</v>
      </c>
      <c r="AF22" t="s">
        <v>452</v>
      </c>
      <c r="AG22">
        <v>1</v>
      </c>
      <c r="AI22" s="29">
        <f>9.5*B13</f>
        <v>76</v>
      </c>
      <c r="AJ22" s="29">
        <f>0.0056*B13</f>
        <v>4.48E-2</v>
      </c>
      <c r="AL22">
        <f>IF(O11="В каждую",1,1.5)</f>
        <v>1</v>
      </c>
    </row>
    <row r="23" spans="1:39">
      <c r="A23" s="3"/>
      <c r="B23" s="3"/>
      <c r="C23" s="63"/>
      <c r="D23" s="143"/>
      <c r="I23" s="2" t="s">
        <v>68</v>
      </c>
      <c r="J23" t="s">
        <v>69</v>
      </c>
      <c r="O23" s="139" t="s">
        <v>76</v>
      </c>
      <c r="P23" s="211"/>
      <c r="Q23" s="28">
        <v>0</v>
      </c>
      <c r="R23" s="138" t="s">
        <v>228</v>
      </c>
      <c r="S23" s="210"/>
      <c r="AA23">
        <v>63</v>
      </c>
      <c r="AF23" t="s">
        <v>453</v>
      </c>
      <c r="AG23">
        <v>1.4</v>
      </c>
      <c r="AI23" s="29"/>
      <c r="AJ23" s="29"/>
    </row>
    <row r="24" spans="1:39">
      <c r="A24" s="10" t="s">
        <v>66</v>
      </c>
      <c r="D24" s="144">
        <f>D17+D18+D19+D20+D21+D22+D23</f>
        <v>9400</v>
      </c>
      <c r="O24" s="139" t="s">
        <v>62</v>
      </c>
      <c r="P24" s="211"/>
      <c r="Q24" s="28">
        <v>0</v>
      </c>
      <c r="R24" s="138" t="s">
        <v>228</v>
      </c>
      <c r="S24" s="210"/>
      <c r="AA24">
        <v>66</v>
      </c>
      <c r="AF24" t="s">
        <v>454</v>
      </c>
      <c r="AG24">
        <v>1.1499999999999999</v>
      </c>
      <c r="AI24" s="8">
        <f>SUM(AI17:AI22)</f>
        <v>375.6</v>
      </c>
      <c r="AJ24" s="8">
        <f>SUM(AJ17:AJ22)</f>
        <v>1.6848000000000001</v>
      </c>
    </row>
    <row r="25" spans="1:39" ht="15.75" thickBot="1">
      <c r="A25" s="2" t="s">
        <v>67</v>
      </c>
      <c r="D25" s="145">
        <f>D17</f>
        <v>3100</v>
      </c>
      <c r="I25" t="s">
        <v>638</v>
      </c>
      <c r="L25">
        <f>IF(C4&lt;=3,3,IF(C4&lt;=7,4,IF(C4&lt;=14,6,IF(C4&lt;=21,8,IF(C4&lt;=30,10,IF(C4&lt;=45,14,IF(C4&lt;=60,17,IF(C4&lt;=90,22,IF(C4&lt;=120,27,IF(C4&lt;=180,32,IF(C4&gt;180,40)))))))))))</f>
        <v>10</v>
      </c>
      <c r="O25" s="142" t="s">
        <v>230</v>
      </c>
      <c r="Q25" s="37">
        <v>0</v>
      </c>
      <c r="AA25">
        <v>69</v>
      </c>
      <c r="AF25" t="s">
        <v>455</v>
      </c>
      <c r="AG25">
        <v>1.1499999999999999</v>
      </c>
      <c r="AJ25" s="29">
        <f>CEILING(AI24/400,2)</f>
        <v>2</v>
      </c>
    </row>
    <row r="26" spans="1:39" ht="15.75" thickBot="1">
      <c r="I26" s="418" t="s">
        <v>639</v>
      </c>
      <c r="J26" s="419"/>
      <c r="K26" s="419"/>
      <c r="L26" s="420">
        <f>(D16/100*L25)/C4</f>
        <v>101.46666666666667</v>
      </c>
      <c r="M26" t="s">
        <v>12</v>
      </c>
      <c r="AA26">
        <v>72</v>
      </c>
    </row>
    <row r="27" spans="1:39">
      <c r="O27" s="142" t="s">
        <v>237</v>
      </c>
      <c r="Q27" s="37">
        <v>0</v>
      </c>
      <c r="AA27">
        <v>75</v>
      </c>
    </row>
    <row r="28" spans="1:39">
      <c r="AA28">
        <v>78</v>
      </c>
    </row>
    <row r="29" spans="1:39">
      <c r="B29" t="s">
        <v>537</v>
      </c>
      <c r="C29" t="s">
        <v>538</v>
      </c>
      <c r="AA29">
        <v>81</v>
      </c>
    </row>
    <row r="30" spans="1:39">
      <c r="A30" s="432" t="s">
        <v>292</v>
      </c>
      <c r="B30" s="432"/>
      <c r="C30" s="432"/>
      <c r="D30" s="432"/>
      <c r="AA30">
        <v>84</v>
      </c>
      <c r="AH30" t="s">
        <v>565</v>
      </c>
      <c r="AI30" s="113">
        <v>1.1499999999999999</v>
      </c>
    </row>
    <row r="31" spans="1:39">
      <c r="A31" t="s">
        <v>293</v>
      </c>
      <c r="B31">
        <v>900</v>
      </c>
      <c r="AA31">
        <v>87</v>
      </c>
      <c r="AI31" t="s">
        <v>566</v>
      </c>
      <c r="AJ31" t="s">
        <v>567</v>
      </c>
      <c r="AK31" s="414" t="s">
        <v>632</v>
      </c>
      <c r="AL31" s="414" t="s">
        <v>633</v>
      </c>
    </row>
    <row r="32" spans="1:39">
      <c r="A32" t="s">
        <v>346</v>
      </c>
      <c r="B32" s="315">
        <v>1500</v>
      </c>
      <c r="C32" s="315">
        <v>1800</v>
      </c>
      <c r="AA32">
        <v>90</v>
      </c>
      <c r="AI32">
        <f>ROUNDUP(AJ32*$AI$30,-1)</f>
        <v>1400</v>
      </c>
      <c r="AJ32">
        <v>1210</v>
      </c>
      <c r="AK32">
        <v>1459</v>
      </c>
      <c r="AL32">
        <v>1300</v>
      </c>
      <c r="AM32">
        <v>1520</v>
      </c>
    </row>
    <row r="33" spans="1:39">
      <c r="A33" t="s">
        <v>307</v>
      </c>
      <c r="B33">
        <v>1000</v>
      </c>
      <c r="C33">
        <v>1500</v>
      </c>
      <c r="AA33">
        <v>93</v>
      </c>
      <c r="AI33">
        <f>ROUNDUP(AJ33*$AI$30,-1)</f>
        <v>1670</v>
      </c>
      <c r="AJ33">
        <v>1450</v>
      </c>
      <c r="AK33">
        <v>1770</v>
      </c>
      <c r="AL33">
        <v>1550</v>
      </c>
      <c r="AM33">
        <v>1760</v>
      </c>
    </row>
    <row r="34" spans="1:39">
      <c r="A34" t="s">
        <v>297</v>
      </c>
      <c r="B34">
        <v>1200</v>
      </c>
      <c r="AA34">
        <v>96</v>
      </c>
      <c r="AI34">
        <f t="shared" ref="AI34:AI37" si="6">ROUNDUP(AJ34*$AI$30,-1)</f>
        <v>630</v>
      </c>
      <c r="AJ34">
        <v>546</v>
      </c>
      <c r="AK34">
        <v>730</v>
      </c>
      <c r="AL34">
        <v>700</v>
      </c>
      <c r="AM34">
        <v>735</v>
      </c>
    </row>
    <row r="35" spans="1:39">
      <c r="A35" t="s">
        <v>308</v>
      </c>
      <c r="B35" s="313">
        <v>1300</v>
      </c>
      <c r="C35" s="313">
        <v>1600</v>
      </c>
      <c r="AA35">
        <v>99</v>
      </c>
      <c r="AI35">
        <f t="shared" si="6"/>
        <v>320</v>
      </c>
      <c r="AJ35">
        <v>272</v>
      </c>
      <c r="AK35">
        <v>356</v>
      </c>
      <c r="AL35">
        <v>345</v>
      </c>
      <c r="AM35">
        <v>367</v>
      </c>
    </row>
    <row r="36" spans="1:39">
      <c r="A36" t="s">
        <v>309</v>
      </c>
      <c r="B36">
        <v>1500</v>
      </c>
      <c r="AA36">
        <v>102</v>
      </c>
      <c r="AI36">
        <f t="shared" si="6"/>
        <v>450</v>
      </c>
      <c r="AJ36">
        <v>390</v>
      </c>
      <c r="AK36">
        <v>390</v>
      </c>
      <c r="AL36">
        <v>390</v>
      </c>
      <c r="AM36">
        <v>390</v>
      </c>
    </row>
    <row r="37" spans="1:39">
      <c r="A37" t="s">
        <v>301</v>
      </c>
      <c r="B37">
        <v>1500</v>
      </c>
      <c r="AA37">
        <v>105</v>
      </c>
      <c r="AI37">
        <f t="shared" si="6"/>
        <v>1120</v>
      </c>
      <c r="AJ37">
        <v>970</v>
      </c>
      <c r="AK37">
        <v>1440</v>
      </c>
      <c r="AL37">
        <v>1150</v>
      </c>
      <c r="AM37">
        <v>1390</v>
      </c>
    </row>
    <row r="38" spans="1:39">
      <c r="A38" t="s">
        <v>498</v>
      </c>
      <c r="B38">
        <v>3500</v>
      </c>
      <c r="AA38">
        <v>108</v>
      </c>
    </row>
    <row r="39" spans="1:39">
      <c r="A39" t="s">
        <v>302</v>
      </c>
      <c r="B39" s="313">
        <v>1200</v>
      </c>
      <c r="C39" s="313">
        <v>1500</v>
      </c>
      <c r="AA39">
        <v>111</v>
      </c>
    </row>
    <row r="40" spans="1:39">
      <c r="A40" t="s">
        <v>299</v>
      </c>
      <c r="B40" s="313">
        <v>1800</v>
      </c>
      <c r="AA40">
        <v>114</v>
      </c>
    </row>
    <row r="41" spans="1:39">
      <c r="A41" t="s">
        <v>312</v>
      </c>
      <c r="B41">
        <v>2400</v>
      </c>
      <c r="AA41">
        <v>117</v>
      </c>
    </row>
    <row r="42" spans="1:39">
      <c r="A42" t="s">
        <v>296</v>
      </c>
      <c r="B42">
        <v>1200</v>
      </c>
      <c r="AA42">
        <v>120</v>
      </c>
    </row>
    <row r="43" spans="1:39">
      <c r="A43" t="s">
        <v>305</v>
      </c>
      <c r="B43" s="313">
        <v>1800</v>
      </c>
      <c r="C43" s="313">
        <v>2000</v>
      </c>
      <c r="AA43">
        <v>123</v>
      </c>
    </row>
    <row r="44" spans="1:39">
      <c r="A44" t="s">
        <v>311</v>
      </c>
      <c r="B44">
        <v>2100</v>
      </c>
      <c r="AA44">
        <v>126</v>
      </c>
    </row>
    <row r="45" spans="1:39">
      <c r="A45" t="s">
        <v>303</v>
      </c>
      <c r="B45">
        <v>1500</v>
      </c>
      <c r="C45">
        <v>1800</v>
      </c>
      <c r="AA45">
        <v>129</v>
      </c>
    </row>
    <row r="46" spans="1:39">
      <c r="A46" t="s">
        <v>298</v>
      </c>
      <c r="B46">
        <v>1700</v>
      </c>
      <c r="AA46">
        <v>132</v>
      </c>
    </row>
    <row r="47" spans="1:39">
      <c r="A47" t="s">
        <v>304</v>
      </c>
      <c r="B47">
        <v>1500</v>
      </c>
      <c r="C47">
        <v>1200</v>
      </c>
      <c r="AA47">
        <v>135</v>
      </c>
    </row>
    <row r="48" spans="1:39">
      <c r="A48" t="s">
        <v>300</v>
      </c>
      <c r="B48">
        <v>5000</v>
      </c>
      <c r="AA48">
        <v>138</v>
      </c>
    </row>
    <row r="49" spans="1:27">
      <c r="A49" t="s">
        <v>294</v>
      </c>
      <c r="B49">
        <v>1800</v>
      </c>
      <c r="AA49">
        <v>141</v>
      </c>
    </row>
    <row r="50" spans="1:27">
      <c r="A50" t="s">
        <v>295</v>
      </c>
      <c r="B50" s="313">
        <v>2000</v>
      </c>
      <c r="C50" s="313">
        <v>2400</v>
      </c>
      <c r="AA50">
        <v>144</v>
      </c>
    </row>
    <row r="51" spans="1:27">
      <c r="A51" t="s">
        <v>310</v>
      </c>
      <c r="B51">
        <v>1200</v>
      </c>
      <c r="AA51">
        <v>147</v>
      </c>
    </row>
    <row r="52" spans="1:27">
      <c r="A52" t="s">
        <v>306</v>
      </c>
      <c r="B52">
        <v>3000</v>
      </c>
      <c r="AA52">
        <v>150</v>
      </c>
    </row>
    <row r="53" spans="1:27">
      <c r="A53" t="s">
        <v>313</v>
      </c>
      <c r="B53">
        <v>1500</v>
      </c>
      <c r="C53">
        <v>1300</v>
      </c>
      <c r="AA53">
        <v>153</v>
      </c>
    </row>
    <row r="54" spans="1:27">
      <c r="A54" t="s">
        <v>314</v>
      </c>
      <c r="B54">
        <v>3500</v>
      </c>
      <c r="C54">
        <v>4000</v>
      </c>
      <c r="AA54">
        <v>156</v>
      </c>
    </row>
    <row r="55" spans="1:27">
      <c r="A55" t="s">
        <v>315</v>
      </c>
      <c r="B55" s="313">
        <v>1600</v>
      </c>
      <c r="C55" s="313">
        <v>1900</v>
      </c>
      <c r="AA55">
        <v>159</v>
      </c>
    </row>
    <row r="56" spans="1:27">
      <c r="A56" t="s">
        <v>316</v>
      </c>
      <c r="B56" s="313">
        <v>1500</v>
      </c>
      <c r="C56" s="313"/>
      <c r="AA56">
        <v>162</v>
      </c>
    </row>
    <row r="57" spans="1:27">
      <c r="A57" t="s">
        <v>317</v>
      </c>
      <c r="B57" s="313">
        <v>2100</v>
      </c>
      <c r="C57" s="313">
        <v>2500</v>
      </c>
    </row>
    <row r="58" spans="1:27">
      <c r="A58" t="s">
        <v>320</v>
      </c>
      <c r="B58">
        <v>1300</v>
      </c>
      <c r="C58">
        <v>1500</v>
      </c>
    </row>
    <row r="59" spans="1:27">
      <c r="A59" t="s">
        <v>323</v>
      </c>
      <c r="B59" s="313">
        <v>2000</v>
      </c>
      <c r="C59" s="313">
        <v>2400</v>
      </c>
    </row>
    <row r="60" spans="1:27">
      <c r="A60" t="s">
        <v>335</v>
      </c>
      <c r="B60">
        <v>3500</v>
      </c>
    </row>
    <row r="61" spans="1:27">
      <c r="A61" t="s">
        <v>460</v>
      </c>
      <c r="B61">
        <v>1000</v>
      </c>
      <c r="C61">
        <v>1200</v>
      </c>
    </row>
    <row r="62" spans="1:27">
      <c r="A62" t="s">
        <v>463</v>
      </c>
      <c r="B62" s="313">
        <v>1500</v>
      </c>
      <c r="C62" s="313">
        <v>1800</v>
      </c>
    </row>
    <row r="63" spans="1:27">
      <c r="A63" t="s">
        <v>465</v>
      </c>
      <c r="B63">
        <v>1500</v>
      </c>
    </row>
    <row r="64" spans="1:27">
      <c r="A64" t="s">
        <v>466</v>
      </c>
      <c r="B64">
        <v>2100</v>
      </c>
      <c r="C64">
        <v>2500</v>
      </c>
    </row>
    <row r="65" spans="1:3">
      <c r="A65" t="s">
        <v>467</v>
      </c>
      <c r="B65" s="313">
        <v>2000</v>
      </c>
      <c r="C65" s="313">
        <v>2400</v>
      </c>
    </row>
    <row r="66" spans="1:3">
      <c r="A66" t="s">
        <v>528</v>
      </c>
      <c r="B66">
        <v>1500</v>
      </c>
    </row>
    <row r="67" spans="1:3">
      <c r="A67" t="s">
        <v>529</v>
      </c>
      <c r="B67">
        <v>2000</v>
      </c>
      <c r="C67">
        <v>2500</v>
      </c>
    </row>
    <row r="68" spans="1:3">
      <c r="A68" t="s">
        <v>536</v>
      </c>
      <c r="B68" s="313">
        <v>1600</v>
      </c>
      <c r="C68" s="313">
        <v>1800</v>
      </c>
    </row>
  </sheetData>
  <mergeCells count="6">
    <mergeCell ref="O20:Q20"/>
    <mergeCell ref="A30:D30"/>
    <mergeCell ref="I14:M14"/>
    <mergeCell ref="I1:M1"/>
    <mergeCell ref="B1:D1"/>
    <mergeCell ref="A1:A5"/>
  </mergeCells>
  <dataValidations count="5">
    <dataValidation type="list" allowBlank="1" showInputMessage="1" showErrorMessage="1" sqref="J3 J5 J7 J9">
      <formula1>INDIRECT("Таблица3[Длина]")</formula1>
    </dataValidation>
    <dataValidation type="list" allowBlank="1" showInputMessage="1" showErrorMessage="1" sqref="K3 K5 K7 K9">
      <formula1>INDIRECT("Таблица4[Высота]")</formula1>
    </dataValidation>
    <dataValidation type="list" allowBlank="1" showInputMessage="1" showErrorMessage="1" sqref="O6">
      <formula1>INDIRECT("Договор")</formula1>
    </dataValidation>
    <dataValidation type="list" allowBlank="1" showInputMessage="1" showErrorMessage="1" sqref="O11">
      <formula1>INDIRECT("Диагонали")</formula1>
    </dataValidation>
    <dataValidation type="list" allowBlank="1" showInputMessage="1" showErrorMessage="1" sqref="O1">
      <formula1>INDIRECT("Город")</formula1>
    </dataValidation>
  </dataValidations>
  <pageMargins left="0.70866141732283472" right="0.70866141732283472" top="0.74803149606299213" bottom="0.74803149606299213" header="0.31496062992125984" footer="0.31496062992125984"/>
  <pageSetup paperSize="9" scale="74" orientation="landscape" horizontalDpi="180" verticalDpi="180" r:id="rId1"/>
  <colBreaks count="1" manualBreakCount="1">
    <brk id="18" max="1048575" man="1"/>
  </colBreaks>
  <legacyDrawing r:id="rId2"/>
  <tableParts count="6">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sheetPr codeName="Лист2"/>
  <dimension ref="A1:AD49"/>
  <sheetViews>
    <sheetView topLeftCell="A7" zoomScaleNormal="100" workbookViewId="0">
      <selection activeCell="AA37" sqref="AA37"/>
    </sheetView>
  </sheetViews>
  <sheetFormatPr defaultRowHeight="15"/>
  <cols>
    <col min="1" max="1" width="33.42578125" bestFit="1" customWidth="1"/>
    <col min="2" max="2" width="20.42578125" customWidth="1"/>
    <col min="3" max="3" width="15" bestFit="1" customWidth="1"/>
    <col min="4" max="4" width="27.28515625" bestFit="1" customWidth="1"/>
    <col min="6" max="6" width="15.28515625" customWidth="1"/>
    <col min="7" max="7" width="16.5703125" customWidth="1"/>
    <col min="8" max="8" width="10.28515625" customWidth="1"/>
    <col min="9" max="9" width="10.28515625" bestFit="1" customWidth="1"/>
    <col min="10" max="10" width="15" customWidth="1"/>
    <col min="13" max="13" width="5.42578125" customWidth="1"/>
    <col min="18" max="18" width="11.7109375" bestFit="1" customWidth="1"/>
    <col min="19" max="19" width="14" bestFit="1" customWidth="1"/>
    <col min="20" max="20" width="8.5703125" bestFit="1" customWidth="1"/>
    <col min="21" max="21" width="7.28515625" bestFit="1" customWidth="1"/>
    <col min="22" max="22" width="11.7109375" customWidth="1"/>
    <col min="23" max="23" width="7.28515625" bestFit="1" customWidth="1"/>
    <col min="24" max="24" width="10.28515625" bestFit="1" customWidth="1"/>
    <col min="25" max="25" width="13.5703125" bestFit="1" customWidth="1"/>
    <col min="26" max="26" width="8.28515625" bestFit="1" customWidth="1"/>
    <col min="29" max="30" width="40.28515625" bestFit="1" customWidth="1"/>
  </cols>
  <sheetData>
    <row r="1" spans="1:26" ht="30.75" thickBot="1">
      <c r="A1" s="439" t="s">
        <v>78</v>
      </c>
      <c r="B1" s="441" t="s">
        <v>1</v>
      </c>
      <c r="C1" s="442"/>
      <c r="D1" s="443"/>
      <c r="F1" s="87" t="s">
        <v>282</v>
      </c>
      <c r="G1" s="132">
        <v>3.89</v>
      </c>
      <c r="H1" s="185">
        <f>G1+1</f>
        <v>4.8900000000000006</v>
      </c>
      <c r="I1" s="256" t="s">
        <v>458</v>
      </c>
      <c r="J1" s="447" t="s">
        <v>452</v>
      </c>
      <c r="K1" s="447"/>
      <c r="L1" s="251" t="s">
        <v>457</v>
      </c>
      <c r="M1" s="201">
        <f>IF(J1="Екатеринбург",Z14,IF(J1="Челябинск",Z15,IF(J1="Новосибирск",Z16,IF(J1="Пермь",Z17))))</f>
        <v>1</v>
      </c>
      <c r="R1" s="51"/>
      <c r="S1" s="170" t="s">
        <v>5</v>
      </c>
      <c r="T1" s="173" t="s">
        <v>281</v>
      </c>
      <c r="U1" s="175" t="s">
        <v>6</v>
      </c>
      <c r="V1" s="176" t="s">
        <v>7</v>
      </c>
      <c r="W1" s="176" t="s">
        <v>448</v>
      </c>
      <c r="X1" s="176" t="s">
        <v>449</v>
      </c>
      <c r="Y1" s="176" t="s">
        <v>450</v>
      </c>
      <c r="Z1" s="176" t="s">
        <v>451</v>
      </c>
    </row>
    <row r="2" spans="1:26" ht="15.75" thickBot="1">
      <c r="A2" s="440"/>
      <c r="B2" s="68"/>
      <c r="C2" s="86"/>
      <c r="D2" s="12"/>
      <c r="F2" s="78" t="s">
        <v>79</v>
      </c>
      <c r="G2" s="189">
        <v>30</v>
      </c>
      <c r="Q2" s="251">
        <v>3.89</v>
      </c>
      <c r="R2" s="52" t="s">
        <v>44</v>
      </c>
      <c r="S2" s="171" t="s">
        <v>443</v>
      </c>
      <c r="T2" s="244">
        <v>290</v>
      </c>
      <c r="U2" s="245">
        <v>230</v>
      </c>
      <c r="V2" s="246">
        <v>170</v>
      </c>
      <c r="W2" s="246">
        <v>150</v>
      </c>
      <c r="X2" s="246">
        <v>130</v>
      </c>
      <c r="Y2" s="246">
        <v>110</v>
      </c>
      <c r="Z2" s="253">
        <v>95</v>
      </c>
    </row>
    <row r="3" spans="1:26" ht="15.75" thickBot="1">
      <c r="A3" s="440"/>
      <c r="B3" s="6" t="s">
        <v>19</v>
      </c>
      <c r="C3" s="325">
        <f>IF(AND(G2&lt;=T8,G1&lt;=Q2),T2,
IF(AND(G2&lt;=U8,G1&lt;=Q2),U2,
IF(AND(G2&lt;=V8,G1&lt;=Q2),V2,
IF(AND(G2&lt;=W8,G1&lt;=Q2),W2,
IF(AND(G2&lt;=X8,G1&lt;=Q2),X2,
IF(AND(G2&lt;=Y8,G1&lt;=Q2),Y2,
IF(AND(G2&gt;Z8,G1&lt;=Q2),Z2,
IF(AND(G2&lt;=T8,G1&lt;=Q3),T3,
IF(AND(G2&lt;=U8,G1&lt;=Q3),U3,
IF(AND(G2&lt;=V8,G1&lt;=Q3),V3,
IF(AND(G2&lt;=W8,G1&lt;=Q3),W3,
IF(AND(G2&lt;=X8,G1&lt;=Q3),X3,
IF(AND(G2&lt;=Y8,G1&lt;=Q3),Y3,
IF(AND(G2&gt;Z8,G1&lt;=Q3),Z3,
IF(AND(G2&lt;=T8,G1&lt;=Q4),T4,
IF(AND(G2&lt;=U8,G1&lt;=Q4),U4,
IF(AND(G2&lt;=V8,G1&lt;=Q4),V4,
IF(AND(G2&lt;=W8,G1&lt;=Q4),W4,
IF(AND(G2&lt;=X8,G1&lt;=Q4),X4,
IF(AND(G2&lt;=Y8,G1&lt;=Q4),Y4,
IF(AND(G2&gt;Z8,G1&lt;=Q4),Z4,
IF(AND(G2&lt;=T8,G1&lt;=Q5),T5,
IF(AND(G2&lt;=U8,G1&lt;=Q5),U5,
IF(AND(G2&lt;=V8,G1&lt;=Q5),V5,
IF(AND(G2&lt;=W8,G1&lt;=Q5),W5,
IF(AND(G2&lt;=X8,G1&lt;=Q5),X5,
IF(AND(G2&lt;=Y8,G1&lt;=Q5),Y5,
IF(AND(G2&gt;Z8,G1&lt;=Q5),Z5,
IF(AND(G2&lt;=T8,G1&lt;=Q6),T6,
IF(AND(G2&lt;=U8,G1&lt;=Q6),U6,
IF(AND(G2&lt;=V8,G1&lt;=Q6),V6,
IF(AND(G2&lt;=W8,G1&lt;=Q6),W6,
IF(AND(G2&lt;=X8,G1&lt;=Q6),X6,
IF(AND(G2&lt;=Y8,G1&lt;=Q6),Y6,
IF(AND(G2&gt;Z8,G1&lt;=Q6),Z6,
IF(AND(G2&lt;=T8,G1&lt;=Q7),T7,
IF(AND(G2&lt;=U8,G1&lt;=Q7),U7,
IF(AND(G2&lt;=V8,G1&lt;=Q7),V7,
IF(AND(G2&lt;=W8,G1&lt;=Q7),W7,
IF(AND(G2&lt;=X8,G1&lt;=Q7),X7,
IF(AND(G2&lt;=Y8,G1&lt;=Q7),Y7,
IF(AND(G2&gt;Z8,G1&lt;=Q7),Z7,1300
))))))))))))))))))))))))))))))))))))))))))*M1*L6+C6+K7</f>
        <v>156</v>
      </c>
      <c r="D3" s="7" t="s">
        <v>20</v>
      </c>
      <c r="F3" t="s">
        <v>283</v>
      </c>
      <c r="G3" s="192">
        <v>1</v>
      </c>
      <c r="H3" s="83">
        <f>T14</f>
        <v>20900</v>
      </c>
      <c r="I3" s="131">
        <v>0</v>
      </c>
      <c r="K3">
        <f>G5*G3</f>
        <v>2090</v>
      </c>
      <c r="Q3" s="251">
        <v>6.29</v>
      </c>
      <c r="R3" s="167" t="s">
        <v>44</v>
      </c>
      <c r="S3" s="172" t="s">
        <v>278</v>
      </c>
      <c r="T3" s="244">
        <v>400</v>
      </c>
      <c r="U3" s="247">
        <v>320</v>
      </c>
      <c r="V3" s="248">
        <v>230</v>
      </c>
      <c r="W3" s="248">
        <v>210</v>
      </c>
      <c r="X3" s="248">
        <v>180</v>
      </c>
      <c r="Y3" s="248">
        <v>150</v>
      </c>
      <c r="Z3" s="254">
        <v>130</v>
      </c>
    </row>
    <row r="4" spans="1:26" ht="15.75">
      <c r="A4" s="440"/>
      <c r="B4" s="130" t="s">
        <v>208</v>
      </c>
      <c r="C4" s="69"/>
      <c r="D4" s="129">
        <f>G2*C3</f>
        <v>4680</v>
      </c>
      <c r="F4" s="78" t="s">
        <v>87</v>
      </c>
      <c r="G4" s="190">
        <v>0</v>
      </c>
      <c r="I4" s="131">
        <v>10</v>
      </c>
      <c r="J4" t="s">
        <v>73</v>
      </c>
      <c r="Q4" s="251">
        <v>8.69</v>
      </c>
      <c r="R4" s="169" t="s">
        <v>44</v>
      </c>
      <c r="S4" s="174" t="s">
        <v>444</v>
      </c>
      <c r="T4" s="244">
        <v>480</v>
      </c>
      <c r="U4" s="249">
        <v>380</v>
      </c>
      <c r="V4" s="250">
        <v>270</v>
      </c>
      <c r="W4" s="250">
        <v>250</v>
      </c>
      <c r="X4" s="250">
        <v>220</v>
      </c>
      <c r="Y4" s="250">
        <v>180</v>
      </c>
      <c r="Z4" s="252">
        <v>160</v>
      </c>
    </row>
    <row r="5" spans="1:26" ht="19.5" thickBot="1">
      <c r="A5" s="440"/>
      <c r="B5" s="266">
        <f>C3*G3</f>
        <v>156</v>
      </c>
      <c r="C5" s="135" t="str">
        <f>CONCATENATE("за ",G3," шт.")</f>
        <v>за 1 шт.</v>
      </c>
      <c r="D5" s="134">
        <f>D4*G3</f>
        <v>4680</v>
      </c>
      <c r="F5" s="78" t="str">
        <f>CONCATENATE("Залог ",I4,"%")</f>
        <v>Залог 10%</v>
      </c>
      <c r="G5" s="77">
        <f>ROUNDUP((H3/100*I4+I3),0)</f>
        <v>2090</v>
      </c>
      <c r="K5" s="320" t="s">
        <v>549</v>
      </c>
      <c r="L5" s="320">
        <f>IF(J7="ПСРВ-21",0.85,1.05)</f>
        <v>0.85</v>
      </c>
      <c r="Q5" s="251">
        <v>11.09</v>
      </c>
      <c r="R5" s="169" t="s">
        <v>44</v>
      </c>
      <c r="S5" s="243" t="s">
        <v>445</v>
      </c>
      <c r="T5" s="244">
        <v>550</v>
      </c>
      <c r="U5" s="244">
        <v>440</v>
      </c>
      <c r="V5" s="244">
        <v>320</v>
      </c>
      <c r="W5" s="244">
        <v>290</v>
      </c>
      <c r="X5" s="244">
        <v>260</v>
      </c>
      <c r="Y5" s="244">
        <v>210</v>
      </c>
      <c r="Z5" s="255">
        <v>180</v>
      </c>
    </row>
    <row r="6" spans="1:26" ht="30">
      <c r="B6" s="87" t="s">
        <v>550</v>
      </c>
      <c r="C6" s="326"/>
      <c r="F6" s="79" t="s">
        <v>65</v>
      </c>
      <c r="G6" s="81">
        <f>(G2*C3+G5)*G3+G4*2</f>
        <v>6770</v>
      </c>
      <c r="K6" s="335" t="s">
        <v>560</v>
      </c>
      <c r="L6" s="335">
        <v>1.2</v>
      </c>
      <c r="Q6" s="251">
        <v>13.49</v>
      </c>
      <c r="R6" s="169" t="s">
        <v>44</v>
      </c>
      <c r="S6" s="243" t="s">
        <v>446</v>
      </c>
      <c r="T6" s="250">
        <v>630</v>
      </c>
      <c r="U6" s="250">
        <v>500</v>
      </c>
      <c r="V6" s="250">
        <v>360</v>
      </c>
      <c r="W6" s="250">
        <v>330</v>
      </c>
      <c r="X6" s="250">
        <v>295</v>
      </c>
      <c r="Y6" s="250">
        <v>240</v>
      </c>
      <c r="Z6" s="252">
        <v>210</v>
      </c>
    </row>
    <row r="7" spans="1:26" ht="15.75" thickBot="1">
      <c r="C7" s="198">
        <f>C6/(C3+C6)</f>
        <v>0</v>
      </c>
      <c r="F7" s="212" t="s">
        <v>348</v>
      </c>
      <c r="G7" s="213">
        <f>D5</f>
        <v>4680</v>
      </c>
      <c r="I7" s="2" t="s">
        <v>551</v>
      </c>
      <c r="J7" s="323" t="s">
        <v>552</v>
      </c>
      <c r="K7" s="332">
        <f>IF(J7="ПСРВ-22",50,0)</f>
        <v>0</v>
      </c>
      <c r="Q7" s="251">
        <v>14.69</v>
      </c>
      <c r="R7" s="169" t="s">
        <v>44</v>
      </c>
      <c r="S7" s="243" t="s">
        <v>447</v>
      </c>
      <c r="T7" s="252">
        <v>720</v>
      </c>
      <c r="U7" s="252">
        <v>560</v>
      </c>
      <c r="V7" s="252">
        <v>410</v>
      </c>
      <c r="W7" s="252">
        <v>370</v>
      </c>
      <c r="X7" s="252">
        <v>330</v>
      </c>
      <c r="Y7" s="252">
        <v>270</v>
      </c>
      <c r="Z7" s="252">
        <v>240</v>
      </c>
    </row>
    <row r="8" spans="1:26">
      <c r="A8" s="280" t="s">
        <v>561</v>
      </c>
      <c r="B8" s="281">
        <f>H3/120</f>
        <v>174.16666666666666</v>
      </c>
      <c r="C8" s="422" t="s">
        <v>642</v>
      </c>
      <c r="D8" s="421">
        <f>IF(G2&lt;=3,3,IF(G2&lt;=7,4,IF(G2&lt;=14,6,IF(G2&lt;=21,8,IF(G2&lt;=30,10,IF(G2&lt;=45,14,IF(G2&lt;=60,17,IF(G2&lt;=90,22,IF(G2&lt;=120,27,IF(G2&lt;=180,32,IF(G2&gt;180,40)))))))))))</f>
        <v>10</v>
      </c>
      <c r="F8" s="212" t="s">
        <v>76</v>
      </c>
      <c r="G8" s="213">
        <f>G5*G3</f>
        <v>2090</v>
      </c>
      <c r="I8" t="s">
        <v>555</v>
      </c>
      <c r="J8" s="324" t="str">
        <f>IF(J7="ПСРВ-21","2м на 1,2м","2м на 2м.")</f>
        <v>2м на 1,2м</v>
      </c>
      <c r="Q8" s="251"/>
      <c r="S8" s="84"/>
      <c r="T8" s="84">
        <v>4</v>
      </c>
      <c r="U8" s="168">
        <v>7</v>
      </c>
      <c r="V8" s="168">
        <v>14</v>
      </c>
      <c r="W8" s="168">
        <v>21</v>
      </c>
      <c r="X8" s="168">
        <v>30</v>
      </c>
      <c r="Y8" s="168">
        <v>45</v>
      </c>
      <c r="Z8" s="168">
        <v>45</v>
      </c>
    </row>
    <row r="9" spans="1:26" ht="15.75" thickBot="1">
      <c r="B9" s="331"/>
      <c r="C9" s="423" t="s">
        <v>643</v>
      </c>
      <c r="D9" s="424">
        <f>ROUND(((H3/100*D8)/G2)*1.2,0)</f>
        <v>84</v>
      </c>
      <c r="F9" s="212" t="s">
        <v>87</v>
      </c>
      <c r="G9" s="213">
        <f>G4*2</f>
        <v>0</v>
      </c>
      <c r="L9" s="341">
        <v>0.1</v>
      </c>
      <c r="S9" s="84"/>
      <c r="T9" s="84"/>
      <c r="U9" s="84"/>
      <c r="V9" s="84"/>
      <c r="W9" s="84"/>
      <c r="X9" s="84"/>
      <c r="Y9" s="84"/>
      <c r="Z9" s="84"/>
    </row>
    <row r="10" spans="1:26">
      <c r="S10" s="85"/>
      <c r="T10" s="85"/>
      <c r="U10" s="85"/>
      <c r="V10" s="85"/>
      <c r="W10" s="85"/>
      <c r="X10" s="85"/>
      <c r="Y10" s="85"/>
      <c r="Z10" s="85"/>
    </row>
    <row r="11" spans="1:26" ht="15.75" customHeight="1">
      <c r="A11" s="444" t="s">
        <v>80</v>
      </c>
      <c r="B11" s="445"/>
      <c r="C11" s="445"/>
      <c r="D11" s="445"/>
      <c r="E11" s="445"/>
      <c r="F11" s="446"/>
    </row>
    <row r="12" spans="1:26" ht="31.5">
      <c r="A12" s="71" t="s">
        <v>81</v>
      </c>
      <c r="B12" s="82" t="s">
        <v>82</v>
      </c>
      <c r="C12" s="72" t="s">
        <v>83</v>
      </c>
      <c r="D12" s="75" t="s">
        <v>84</v>
      </c>
      <c r="E12" s="72" t="s">
        <v>85</v>
      </c>
      <c r="F12" s="72" t="s">
        <v>86</v>
      </c>
      <c r="H12" s="278" t="s">
        <v>468</v>
      </c>
      <c r="I12" s="278" t="s">
        <v>469</v>
      </c>
      <c r="S12">
        <f>G1</f>
        <v>3.89</v>
      </c>
    </row>
    <row r="13" spans="1:26" ht="15.75">
      <c r="A13" s="70"/>
      <c r="B13" s="186">
        <v>2.69</v>
      </c>
      <c r="C13" s="72">
        <v>1.69</v>
      </c>
      <c r="D13" s="74">
        <v>3.69</v>
      </c>
      <c r="E13" s="72">
        <v>126.7</v>
      </c>
      <c r="F13" s="73">
        <f>H13+H13*L9</f>
        <v>17050</v>
      </c>
      <c r="G13" s="104">
        <f>F13+$I$3</f>
        <v>17050</v>
      </c>
      <c r="H13" s="279">
        <f>IF($J$7="ПСРВ-21",X20,Y20)</f>
        <v>15500</v>
      </c>
      <c r="I13">
        <v>1</v>
      </c>
      <c r="V13" t="s">
        <v>551</v>
      </c>
      <c r="Y13" t="s">
        <v>94</v>
      </c>
    </row>
    <row r="14" spans="1:26" ht="15.75">
      <c r="A14" s="70"/>
      <c r="B14" s="186">
        <v>3.89</v>
      </c>
      <c r="C14" s="72">
        <v>2.89</v>
      </c>
      <c r="D14" s="74">
        <v>4.8899999999999997</v>
      </c>
      <c r="E14" s="72">
        <v>151.5</v>
      </c>
      <c r="F14" s="73">
        <f>H14+H14*L9</f>
        <v>20900</v>
      </c>
      <c r="G14" s="104">
        <f t="shared" ref="G14:G28" si="0">F14+$I$3</f>
        <v>20900</v>
      </c>
      <c r="H14" s="279">
        <f t="shared" ref="H14:H29" si="1">IF($J$7="ПСРВ-21",X21,Y21)</f>
        <v>19000</v>
      </c>
      <c r="I14">
        <v>2</v>
      </c>
      <c r="S14" t="s">
        <v>88</v>
      </c>
      <c r="T14">
        <f>IF(G1=B13,F13,IF(G1=B14,F14,IF(G1=B15,F15,IF(G1=B16,F16,IF(G1=B17,F17,IF(G1=B18,F18,IF(G1=B19,F19,IF(G1=B20,F20,IF(G1=B21,F21,IF(G1=B22,F22,IF(G1=B23,F23,IF(G1=B24,F24,IF(G1=B25,F25,IF(G1=B26,F26,IF(G1=B27,F27,IF(G1=B28,F28,))))))))))))))))</f>
        <v>20900</v>
      </c>
      <c r="V14" t="s">
        <v>554</v>
      </c>
      <c r="Y14" t="s">
        <v>452</v>
      </c>
      <c r="Z14">
        <v>1</v>
      </c>
    </row>
    <row r="15" spans="1:26" ht="15.75">
      <c r="A15" s="70"/>
      <c r="B15" s="186">
        <v>5.09</v>
      </c>
      <c r="C15" s="72">
        <v>4.09</v>
      </c>
      <c r="D15" s="74">
        <v>6.09</v>
      </c>
      <c r="E15" s="72">
        <v>192.3</v>
      </c>
      <c r="F15" s="73">
        <f>H15+H15*L9</f>
        <v>24200</v>
      </c>
      <c r="G15" s="104">
        <f t="shared" si="0"/>
        <v>24200</v>
      </c>
      <c r="H15" s="279">
        <f t="shared" si="1"/>
        <v>22000</v>
      </c>
      <c r="I15">
        <v>3</v>
      </c>
      <c r="V15" t="s">
        <v>552</v>
      </c>
      <c r="Y15" t="s">
        <v>453</v>
      </c>
      <c r="Z15">
        <v>1.1499999999999999</v>
      </c>
    </row>
    <row r="16" spans="1:26" ht="15.75">
      <c r="A16" s="70"/>
      <c r="B16" s="186">
        <v>6.29</v>
      </c>
      <c r="C16" s="72">
        <v>5.29</v>
      </c>
      <c r="D16" s="74">
        <v>7.29</v>
      </c>
      <c r="E16" s="72">
        <v>218.8</v>
      </c>
      <c r="F16" s="73">
        <f>H16+H16*L9</f>
        <v>28820</v>
      </c>
      <c r="G16" s="104">
        <f t="shared" si="0"/>
        <v>28820</v>
      </c>
      <c r="H16" s="279">
        <f t="shared" si="1"/>
        <v>26200</v>
      </c>
      <c r="I16">
        <v>4</v>
      </c>
      <c r="S16">
        <f>C3*G3</f>
        <v>156</v>
      </c>
      <c r="V16" t="s">
        <v>553</v>
      </c>
      <c r="Y16" t="s">
        <v>455</v>
      </c>
      <c r="Z16">
        <v>1.4</v>
      </c>
    </row>
    <row r="17" spans="1:30" ht="15.75">
      <c r="A17" s="70"/>
      <c r="B17" s="186">
        <v>7.49</v>
      </c>
      <c r="C17" s="72">
        <v>6.49</v>
      </c>
      <c r="D17" s="74">
        <v>8.49</v>
      </c>
      <c r="E17" s="72">
        <v>243.8</v>
      </c>
      <c r="F17" s="73">
        <f>H17+H17*L9+5</f>
        <v>32125</v>
      </c>
      <c r="G17" s="104">
        <f t="shared" si="0"/>
        <v>32125</v>
      </c>
      <c r="H17" s="279">
        <f t="shared" si="1"/>
        <v>29200</v>
      </c>
      <c r="I17">
        <v>5</v>
      </c>
      <c r="Y17" t="s">
        <v>454</v>
      </c>
      <c r="Z17">
        <v>1.1499999999999999</v>
      </c>
    </row>
    <row r="18" spans="1:30" ht="15" customHeight="1">
      <c r="A18" s="70"/>
      <c r="B18" s="186">
        <v>8.69</v>
      </c>
      <c r="C18" s="72">
        <v>7.69</v>
      </c>
      <c r="D18" s="74">
        <v>9.69</v>
      </c>
      <c r="E18" s="72">
        <v>270.3</v>
      </c>
      <c r="F18" s="73">
        <f>H18+H18*0.1+5</f>
        <v>35315</v>
      </c>
      <c r="G18" s="104">
        <f t="shared" si="0"/>
        <v>35315</v>
      </c>
      <c r="H18" s="279">
        <f t="shared" si="1"/>
        <v>32100</v>
      </c>
      <c r="I18">
        <v>6</v>
      </c>
    </row>
    <row r="19" spans="1:30" ht="16.5" thickBot="1">
      <c r="A19" s="70"/>
      <c r="B19" s="186">
        <v>9.89</v>
      </c>
      <c r="C19" s="72">
        <v>8.89</v>
      </c>
      <c r="D19" s="74">
        <v>10.89</v>
      </c>
      <c r="E19" s="72">
        <v>295.10000000000002</v>
      </c>
      <c r="F19" s="73">
        <f>H19+H19*L9+5</f>
        <v>38725</v>
      </c>
      <c r="G19" s="104">
        <f t="shared" si="0"/>
        <v>38725</v>
      </c>
      <c r="H19" s="279">
        <f t="shared" si="1"/>
        <v>35200</v>
      </c>
      <c r="I19">
        <v>7</v>
      </c>
    </row>
    <row r="20" spans="1:30" ht="15.75">
      <c r="A20" s="70"/>
      <c r="B20" s="186">
        <v>11.09</v>
      </c>
      <c r="C20" s="72">
        <v>10.09</v>
      </c>
      <c r="D20" s="74">
        <v>12.09</v>
      </c>
      <c r="E20" s="72">
        <v>319.89999999999998</v>
      </c>
      <c r="F20" s="73">
        <f>H20+H20*L9+5</f>
        <v>41915</v>
      </c>
      <c r="G20" s="104">
        <f t="shared" si="0"/>
        <v>41915</v>
      </c>
      <c r="H20" s="279">
        <f t="shared" si="1"/>
        <v>38100</v>
      </c>
      <c r="I20">
        <v>8</v>
      </c>
      <c r="X20" s="427">
        <v>15500</v>
      </c>
      <c r="Y20" s="427">
        <v>21400</v>
      </c>
      <c r="AC20" s="151" t="s">
        <v>241</v>
      </c>
      <c r="AD20" s="151" t="s">
        <v>241</v>
      </c>
    </row>
    <row r="21" spans="1:30" ht="15.75">
      <c r="A21" s="70"/>
      <c r="B21" s="186">
        <v>12.29</v>
      </c>
      <c r="C21" s="72">
        <v>11.29</v>
      </c>
      <c r="D21" s="74">
        <v>13.29</v>
      </c>
      <c r="E21" s="72">
        <v>344.7</v>
      </c>
      <c r="F21" s="73">
        <f>H21+H21*L9+5</f>
        <v>45215</v>
      </c>
      <c r="G21" s="104">
        <f t="shared" si="0"/>
        <v>45215</v>
      </c>
      <c r="H21" s="279">
        <f t="shared" si="1"/>
        <v>41100</v>
      </c>
      <c r="I21">
        <v>9</v>
      </c>
      <c r="X21" s="427">
        <v>19000</v>
      </c>
      <c r="Y21" s="427">
        <v>25140</v>
      </c>
      <c r="AC21" s="153" t="s">
        <v>242</v>
      </c>
      <c r="AD21" s="153" t="s">
        <v>556</v>
      </c>
    </row>
    <row r="22" spans="1:30" ht="15.75">
      <c r="A22" s="70"/>
      <c r="B22" s="186">
        <v>13.49</v>
      </c>
      <c r="C22" s="72">
        <v>12.49</v>
      </c>
      <c r="D22" s="74">
        <v>14.49</v>
      </c>
      <c r="E22" s="72">
        <v>369.5</v>
      </c>
      <c r="F22" s="73">
        <f>H22+H22*L9</f>
        <v>48510</v>
      </c>
      <c r="G22" s="104">
        <f t="shared" si="0"/>
        <v>48510</v>
      </c>
      <c r="H22" s="279">
        <f t="shared" si="1"/>
        <v>44100</v>
      </c>
      <c r="I22">
        <v>10</v>
      </c>
      <c r="X22" s="427">
        <v>22000</v>
      </c>
      <c r="Y22" s="427">
        <v>28900</v>
      </c>
      <c r="AC22" s="153" t="s">
        <v>243</v>
      </c>
      <c r="AD22" s="153" t="s">
        <v>557</v>
      </c>
    </row>
    <row r="23" spans="1:30" ht="15.75">
      <c r="A23" s="70"/>
      <c r="B23" s="186">
        <v>14.69</v>
      </c>
      <c r="C23" s="72">
        <v>13.69</v>
      </c>
      <c r="D23" s="74">
        <v>15.69</v>
      </c>
      <c r="E23" s="72">
        <v>394.3</v>
      </c>
      <c r="F23" s="73">
        <f>H23+H23*L9</f>
        <v>51700</v>
      </c>
      <c r="G23" s="104">
        <f t="shared" si="0"/>
        <v>51700</v>
      </c>
      <c r="H23" s="279">
        <f t="shared" si="1"/>
        <v>47000</v>
      </c>
      <c r="I23">
        <v>11</v>
      </c>
      <c r="X23" s="427">
        <v>26200</v>
      </c>
      <c r="Y23" s="427">
        <v>34900</v>
      </c>
      <c r="AC23" s="153" t="s">
        <v>244</v>
      </c>
      <c r="AD23" s="153" t="s">
        <v>244</v>
      </c>
    </row>
    <row r="24" spans="1:30" ht="15.75">
      <c r="A24" s="70"/>
      <c r="B24" s="186">
        <v>15.89</v>
      </c>
      <c r="C24" s="72">
        <v>14.89</v>
      </c>
      <c r="D24" s="74">
        <v>16.89</v>
      </c>
      <c r="E24" s="72">
        <v>419.1</v>
      </c>
      <c r="F24" s="73">
        <f>H24+H24*L9</f>
        <v>55110</v>
      </c>
      <c r="G24" s="104">
        <f t="shared" si="0"/>
        <v>55110</v>
      </c>
      <c r="H24" s="279">
        <f t="shared" si="1"/>
        <v>50100</v>
      </c>
      <c r="I24">
        <v>12</v>
      </c>
      <c r="X24" s="427">
        <v>29200</v>
      </c>
      <c r="Y24" s="427">
        <v>38500</v>
      </c>
      <c r="AC24" s="153" t="s">
        <v>245</v>
      </c>
      <c r="AD24" s="153" t="s">
        <v>245</v>
      </c>
    </row>
    <row r="25" spans="1:30" ht="15.75">
      <c r="A25" s="70"/>
      <c r="B25" s="186">
        <v>17.09</v>
      </c>
      <c r="C25" s="72">
        <v>16.09</v>
      </c>
      <c r="D25" s="74">
        <v>18.09</v>
      </c>
      <c r="E25" s="72">
        <v>443.9</v>
      </c>
      <c r="F25" s="73">
        <f>H25+H25*L9</f>
        <v>58300</v>
      </c>
      <c r="G25" s="104">
        <f t="shared" si="0"/>
        <v>58300</v>
      </c>
      <c r="H25" s="279">
        <f t="shared" si="1"/>
        <v>53000</v>
      </c>
      <c r="I25">
        <v>13</v>
      </c>
      <c r="X25" s="427">
        <v>32100</v>
      </c>
      <c r="Y25" s="427">
        <v>42500</v>
      </c>
      <c r="AC25" s="153" t="s">
        <v>246</v>
      </c>
      <c r="AD25" s="153" t="s">
        <v>246</v>
      </c>
    </row>
    <row r="26" spans="1:30" ht="15.75">
      <c r="A26" s="70"/>
      <c r="B26" s="186">
        <v>18.29</v>
      </c>
      <c r="C26" s="72">
        <v>17.29</v>
      </c>
      <c r="D26" s="74">
        <v>19.29</v>
      </c>
      <c r="E26" s="72">
        <v>468.7</v>
      </c>
      <c r="F26" s="73">
        <f>H26+H26*L9</f>
        <v>61600</v>
      </c>
      <c r="G26" s="104">
        <f t="shared" si="0"/>
        <v>61600</v>
      </c>
      <c r="H26" s="279">
        <f t="shared" si="1"/>
        <v>56000</v>
      </c>
      <c r="I26">
        <v>14</v>
      </c>
      <c r="X26" s="427">
        <v>35200</v>
      </c>
      <c r="Y26" s="427">
        <v>46300</v>
      </c>
      <c r="AC26" s="327" t="s">
        <v>247</v>
      </c>
      <c r="AD26" s="327" t="s">
        <v>558</v>
      </c>
    </row>
    <row r="27" spans="1:30" ht="15.75">
      <c r="A27" s="70"/>
      <c r="B27" s="186">
        <v>19.489999999999998</v>
      </c>
      <c r="C27" s="72">
        <v>18.489999999999998</v>
      </c>
      <c r="D27" s="74">
        <v>20.49</v>
      </c>
      <c r="E27" s="72">
        <v>493.5</v>
      </c>
      <c r="F27" s="73">
        <f>H27+H27*L9</f>
        <v>64790</v>
      </c>
      <c r="G27" s="104">
        <f t="shared" si="0"/>
        <v>64790</v>
      </c>
      <c r="H27" s="279">
        <f t="shared" si="1"/>
        <v>58900</v>
      </c>
      <c r="I27">
        <v>15</v>
      </c>
      <c r="X27" s="427">
        <v>38100</v>
      </c>
      <c r="Y27" s="427">
        <v>50000</v>
      </c>
      <c r="AC27" s="153" t="s">
        <v>248</v>
      </c>
      <c r="AD27" s="153" t="s">
        <v>248</v>
      </c>
    </row>
    <row r="28" spans="1:30" ht="15.75">
      <c r="A28" s="70"/>
      <c r="B28" s="187">
        <v>20.69</v>
      </c>
      <c r="C28" s="72">
        <v>19.690000000000001</v>
      </c>
      <c r="D28" s="76">
        <v>21.69</v>
      </c>
      <c r="E28" s="72">
        <v>518.29999999999995</v>
      </c>
      <c r="F28" s="73">
        <f>H28+H28*L9+5</f>
        <v>68205</v>
      </c>
      <c r="G28" s="104">
        <f t="shared" si="0"/>
        <v>68205</v>
      </c>
      <c r="H28" s="279">
        <f t="shared" si="1"/>
        <v>62000</v>
      </c>
      <c r="I28">
        <v>16</v>
      </c>
      <c r="X28" s="427">
        <v>41100</v>
      </c>
      <c r="Y28" s="427">
        <v>53700</v>
      </c>
      <c r="AC28" s="153" t="s">
        <v>249</v>
      </c>
      <c r="AD28" s="153" t="s">
        <v>249</v>
      </c>
    </row>
    <row r="29" spans="1:30">
      <c r="H29" s="279">
        <f t="shared" si="1"/>
        <v>0</v>
      </c>
      <c r="X29" s="427">
        <v>44100</v>
      </c>
      <c r="Y29" s="427">
        <v>57700</v>
      </c>
      <c r="AC29" s="153" t="s">
        <v>250</v>
      </c>
      <c r="AD29" s="153" t="s">
        <v>250</v>
      </c>
    </row>
    <row r="30" spans="1:30" ht="15.75" thickBot="1">
      <c r="X30" s="427">
        <v>47000</v>
      </c>
      <c r="Y30" s="427">
        <v>61000</v>
      </c>
      <c r="AC30" s="155" t="s">
        <v>251</v>
      </c>
      <c r="AD30" s="155" t="s">
        <v>251</v>
      </c>
    </row>
    <row r="31" spans="1:30">
      <c r="X31" s="427">
        <v>50100</v>
      </c>
      <c r="Y31" s="427">
        <v>65100</v>
      </c>
    </row>
    <row r="32" spans="1:30" ht="15.75" thickBot="1">
      <c r="X32" s="427">
        <v>53000</v>
      </c>
      <c r="Y32" s="427">
        <v>69200</v>
      </c>
    </row>
    <row r="33" spans="1:25">
      <c r="A33" t="s">
        <v>238</v>
      </c>
      <c r="D33" s="160" t="str">
        <f>CONCATENATE("Количество на ",G3," вышки")</f>
        <v>Количество на 1 вышки</v>
      </c>
      <c r="G33" s="160" t="s">
        <v>287</v>
      </c>
      <c r="J33" s="149" t="s">
        <v>239</v>
      </c>
      <c r="X33" s="427">
        <v>56000</v>
      </c>
      <c r="Y33" s="427">
        <v>72800</v>
      </c>
    </row>
    <row r="34" spans="1:25" ht="15.75" thickBot="1">
      <c r="H34">
        <v>1.1000000000000001</v>
      </c>
      <c r="J34" s="150">
        <f>IF(G1=2.69,1,IF(G1=3.89,2,IF(G1=5.09,3,IF(G1=6.29,4,IF(G1=7.49,5,IF(G1=8.69,6,IF(G1=9.89,7,IF(G1=11.09,8,IF(G1=12.29,9,IF(G1=13.49,10,IF(G1=14.69,11,IF(G1=15.89,12,IF(G1=17.09,13,IF(G1=18.29,14,IF(G1=19.49,15,IF(G1=20.69,16))))))))))))))))</f>
        <v>2</v>
      </c>
      <c r="X34" s="427">
        <v>58900</v>
      </c>
      <c r="Y34" s="427">
        <v>76500</v>
      </c>
    </row>
    <row r="35" spans="1:25" ht="15.75" thickBot="1">
      <c r="G35" t="s">
        <v>468</v>
      </c>
      <c r="H35" t="s">
        <v>568</v>
      </c>
      <c r="I35" s="336" t="s">
        <v>564</v>
      </c>
      <c r="X35" s="427">
        <v>62000</v>
      </c>
      <c r="Y35" s="427">
        <v>80600</v>
      </c>
    </row>
    <row r="36" spans="1:25" ht="19.5" thickBot="1">
      <c r="A36" s="151" t="str">
        <f>IF($J$7="ПСРВ-21",AC20,AD20)</f>
        <v>База в сборе (2420мм)</v>
      </c>
      <c r="B36" s="152">
        <v>2</v>
      </c>
      <c r="D36" s="157">
        <f>B36*G3</f>
        <v>2</v>
      </c>
      <c r="G36">
        <v>3774</v>
      </c>
      <c r="H36">
        <f>ROUNDUP(G36*$H$34,-1)</f>
        <v>4160</v>
      </c>
      <c r="I36">
        <f>D36*H36</f>
        <v>8320</v>
      </c>
      <c r="X36" s="428"/>
      <c r="Y36" s="427">
        <v>83900</v>
      </c>
    </row>
    <row r="37" spans="1:25" ht="19.5" thickBot="1">
      <c r="A37" s="151" t="str">
        <f t="shared" ref="A37:A46" si="2">IF($J$7="ПСРВ-21",AC21,AD21)</f>
        <v>Лестница секции (1160мм х 1214мм)</v>
      </c>
      <c r="B37" s="154">
        <f>2*J34+B42</f>
        <v>6</v>
      </c>
      <c r="D37" s="158">
        <f>B37*G3</f>
        <v>6</v>
      </c>
      <c r="G37">
        <v>1180</v>
      </c>
      <c r="H37">
        <f t="shared" ref="H37:H46" si="3">ROUNDUP(G37*$H$34,-1)</f>
        <v>1300</v>
      </c>
      <c r="I37">
        <f t="shared" ref="I37:I46" si="4">D37*H37</f>
        <v>7800</v>
      </c>
    </row>
    <row r="38" spans="1:25" ht="19.5" thickBot="1">
      <c r="A38" s="151" t="str">
        <f t="shared" si="2"/>
        <v>Диагональ объемная (2305мм)</v>
      </c>
      <c r="B38" s="154">
        <f>ROUNDUP(J34/3,0)</f>
        <v>1</v>
      </c>
      <c r="D38" s="158">
        <f>B38*G3</f>
        <v>1</v>
      </c>
      <c r="G38">
        <v>571</v>
      </c>
      <c r="H38">
        <f t="shared" si="3"/>
        <v>630</v>
      </c>
      <c r="I38">
        <f t="shared" si="4"/>
        <v>630</v>
      </c>
    </row>
    <row r="39" spans="1:25" ht="19.5" thickBot="1">
      <c r="A39" s="151" t="str">
        <f t="shared" si="2"/>
        <v>Гантель (1975мм)</v>
      </c>
      <c r="B39" s="154">
        <f>2*J34</f>
        <v>4</v>
      </c>
      <c r="D39" s="158">
        <f>B39*G3</f>
        <v>4</v>
      </c>
      <c r="G39">
        <v>781</v>
      </c>
      <c r="H39">
        <f t="shared" si="3"/>
        <v>860</v>
      </c>
      <c r="I39">
        <f t="shared" si="4"/>
        <v>3440</v>
      </c>
    </row>
    <row r="40" spans="1:25" ht="19.5" thickBot="1">
      <c r="A40" s="151" t="str">
        <f t="shared" si="2"/>
        <v>Стяжка лестницы (840мм)</v>
      </c>
      <c r="B40" s="154">
        <f>8+8*J34</f>
        <v>24</v>
      </c>
      <c r="D40" s="158">
        <f>B40*G3</f>
        <v>24</v>
      </c>
      <c r="G40">
        <v>122</v>
      </c>
      <c r="H40">
        <f t="shared" si="3"/>
        <v>140</v>
      </c>
      <c r="I40">
        <f t="shared" si="4"/>
        <v>3360</v>
      </c>
    </row>
    <row r="41" spans="1:25" ht="19.5" thickBot="1">
      <c r="A41" s="151" t="str">
        <f t="shared" si="2"/>
        <v>Стабилизатор в сборе (2400мм)</v>
      </c>
      <c r="B41" s="154">
        <f>IF(G1&gt;=6.29,4,0)</f>
        <v>0</v>
      </c>
      <c r="D41" s="158">
        <f>B41*G3</f>
        <v>0</v>
      </c>
      <c r="G41">
        <v>779</v>
      </c>
      <c r="H41">
        <f t="shared" si="3"/>
        <v>860</v>
      </c>
      <c r="I41">
        <f t="shared" si="4"/>
        <v>0</v>
      </c>
    </row>
    <row r="42" spans="1:25" ht="19.5" thickBot="1">
      <c r="A42" s="151" t="str">
        <f t="shared" si="2"/>
        <v>Лестница ограждения (1160мм х 1214мм)</v>
      </c>
      <c r="B42" s="328">
        <v>2</v>
      </c>
      <c r="C42" s="329"/>
      <c r="D42" s="330">
        <f>B42*G3</f>
        <v>2</v>
      </c>
      <c r="G42">
        <v>1180</v>
      </c>
      <c r="H42">
        <f t="shared" si="3"/>
        <v>1300</v>
      </c>
      <c r="I42">
        <f t="shared" si="4"/>
        <v>2600</v>
      </c>
    </row>
    <row r="43" spans="1:25" ht="19.5" thickBot="1">
      <c r="A43" s="151" t="str">
        <f t="shared" si="2"/>
        <v>Гантель ограждения (1965мм)</v>
      </c>
      <c r="B43" s="154">
        <v>2</v>
      </c>
      <c r="D43" s="158">
        <f>B43*G3</f>
        <v>2</v>
      </c>
      <c r="G43">
        <v>694</v>
      </c>
      <c r="H43">
        <f t="shared" si="3"/>
        <v>770</v>
      </c>
      <c r="I43">
        <f t="shared" si="4"/>
        <v>1540</v>
      </c>
    </row>
    <row r="44" spans="1:25" ht="19.5" thickBot="1">
      <c r="A44" s="151" t="str">
        <f t="shared" si="2"/>
        <v>Перекладина ограждения (1990мм)</v>
      </c>
      <c r="B44" s="154">
        <v>2</v>
      </c>
      <c r="D44" s="158">
        <f>B44*G3</f>
        <v>2</v>
      </c>
      <c r="H44">
        <f t="shared" si="3"/>
        <v>0</v>
      </c>
      <c r="I44">
        <f t="shared" si="4"/>
        <v>0</v>
      </c>
    </row>
    <row r="45" spans="1:25" ht="19.5" thickBot="1">
      <c r="A45" s="151" t="str">
        <f t="shared" si="2"/>
        <v>Настил без люка (1995мм х 525мм)</v>
      </c>
      <c r="B45" s="154">
        <f>IF(J7="ПСРВ-21",1,2)</f>
        <v>1</v>
      </c>
      <c r="D45" s="158">
        <f>B45*G3</f>
        <v>1</v>
      </c>
      <c r="G45">
        <v>3850</v>
      </c>
      <c r="H45">
        <f t="shared" si="3"/>
        <v>4240</v>
      </c>
      <c r="I45">
        <f t="shared" si="4"/>
        <v>4240</v>
      </c>
    </row>
    <row r="46" spans="1:25" ht="19.5" thickBot="1">
      <c r="A46" s="151" t="str">
        <f t="shared" si="2"/>
        <v>Настил с люком (1995мм х 525мм)</v>
      </c>
      <c r="B46" s="156">
        <v>1</v>
      </c>
      <c r="D46" s="159">
        <f>B46*G3</f>
        <v>1</v>
      </c>
      <c r="G46">
        <v>4004</v>
      </c>
      <c r="H46">
        <f t="shared" si="3"/>
        <v>4410</v>
      </c>
      <c r="I46">
        <f t="shared" si="4"/>
        <v>4410</v>
      </c>
    </row>
    <row r="48" spans="1:25">
      <c r="G48" t="s">
        <v>562</v>
      </c>
      <c r="I48">
        <f>SUM(I36:I46)</f>
        <v>36340</v>
      </c>
    </row>
    <row r="49" spans="7:8">
      <c r="G49" t="s">
        <v>563</v>
      </c>
      <c r="H49">
        <f>G5</f>
        <v>2090</v>
      </c>
    </row>
  </sheetData>
  <mergeCells count="4">
    <mergeCell ref="A1:A5"/>
    <mergeCell ref="B1:D1"/>
    <mergeCell ref="A11:F11"/>
    <mergeCell ref="J1:K1"/>
  </mergeCells>
  <dataValidations count="3">
    <dataValidation type="list" allowBlank="1" showInputMessage="1" showErrorMessage="1" sqref="G1">
      <formula1>INDIRECT("ВысотаПолная")</formula1>
    </dataValidation>
    <dataValidation type="list" allowBlank="1" showInputMessage="1" showErrorMessage="1" sqref="J1:K1">
      <formula1>INDIRECT("Города")</formula1>
    </dataValidation>
    <dataValidation type="list" allowBlank="1" showInputMessage="1" showErrorMessage="1" sqref="J7">
      <formula1>INDIRECT("Вышки")</formula1>
    </dataValidation>
  </dataValidations>
  <pageMargins left="0.70866141732283472" right="0.70866141732283472" top="0.74803149606299213" bottom="0.74803149606299213" header="0.31496062992125984" footer="0.31496062992125984"/>
  <pageSetup paperSize="9" scale="76" orientation="landscape" horizontalDpi="180" verticalDpi="180" r:id="rId1"/>
  <rowBreaks count="1" manualBreakCount="1">
    <brk id="30" max="10" man="1"/>
  </rowBreaks>
  <colBreaks count="1" manualBreakCount="1">
    <brk id="11" max="1048575" man="1"/>
  </colBreaks>
  <legacy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sheetPr codeName="Лист3"/>
  <dimension ref="A1:BL184"/>
  <sheetViews>
    <sheetView topLeftCell="A2" workbookViewId="0">
      <selection activeCell="S145" sqref="S145"/>
    </sheetView>
  </sheetViews>
  <sheetFormatPr defaultColWidth="2" defaultRowHeight="15.75"/>
  <cols>
    <col min="1" max="3" width="2" style="93" customWidth="1"/>
    <col min="4" max="6" width="2" style="93"/>
    <col min="7" max="7" width="2.28515625" style="93" bestFit="1" customWidth="1"/>
    <col min="8" max="35" width="2" style="93"/>
    <col min="36" max="36" width="2" style="93" customWidth="1"/>
    <col min="37" max="45" width="2" style="93"/>
    <col min="46" max="46" width="1.5703125" style="93" customWidth="1"/>
    <col min="47" max="47" width="19.5703125" style="93" customWidth="1"/>
    <col min="48" max="48" width="18.42578125" style="93" customWidth="1"/>
    <col min="49" max="49" width="44.28515625" style="93" bestFit="1" customWidth="1"/>
    <col min="50" max="54" width="2" style="93"/>
    <col min="55" max="55" width="1.28515625" style="93" customWidth="1"/>
    <col min="56" max="62" width="2" style="93" hidden="1" customWidth="1"/>
    <col min="63" max="63" width="17.5703125" style="93" customWidth="1"/>
    <col min="64" max="64" width="21" style="93" customWidth="1"/>
    <col min="65" max="16384" width="2" style="93"/>
  </cols>
  <sheetData>
    <row r="1" spans="1:64" ht="9.75" hidden="1" customHeight="1">
      <c r="A1" s="93">
        <f>'Расчет лесов'!C3</f>
        <v>210</v>
      </c>
    </row>
    <row r="2" spans="1:64">
      <c r="A2" s="468" t="str">
        <f>CONCATENATE("ДОГОВОР №",AW2)</f>
        <v>ДОГОВОР №27/06-А(16)</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V2" s="93" t="s">
        <v>90</v>
      </c>
      <c r="AW2" s="140" t="s">
        <v>275</v>
      </c>
      <c r="BK2" s="467" t="s">
        <v>139</v>
      </c>
      <c r="BL2" s="467"/>
    </row>
    <row r="3" spans="1:64">
      <c r="A3" s="468" t="s">
        <v>89</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V3" s="93" t="s">
        <v>91</v>
      </c>
      <c r="AW3" s="141" t="s">
        <v>276</v>
      </c>
      <c r="BK3" s="93" t="s">
        <v>138</v>
      </c>
      <c r="BL3" s="93">
        <f>'Расчет лесов'!C4</f>
        <v>30</v>
      </c>
    </row>
    <row r="4" spans="1:64">
      <c r="AV4" s="98" t="s">
        <v>93</v>
      </c>
      <c r="AW4" s="98" t="s">
        <v>257</v>
      </c>
    </row>
    <row r="5" spans="1:64">
      <c r="B5" s="94" t="s">
        <v>92</v>
      </c>
      <c r="AK5" s="93" t="str">
        <f>AW3</f>
        <v>"27" июня 2016 г.</v>
      </c>
      <c r="AV5" s="98" t="s">
        <v>94</v>
      </c>
      <c r="AW5" s="98" t="s">
        <v>258</v>
      </c>
      <c r="BK5" s="93" t="s">
        <v>224</v>
      </c>
      <c r="BL5" s="93">
        <f>'Расчет лесов'!J3+'Расчет лесов'!J5+'Расчет лесов'!J7+'Расчет лесов'!J9</f>
        <v>3</v>
      </c>
    </row>
    <row r="6" spans="1:64">
      <c r="AV6" s="98" t="s">
        <v>95</v>
      </c>
      <c r="AW6" s="98"/>
      <c r="BK6" s="93" t="s">
        <v>14</v>
      </c>
      <c r="BL6" s="93">
        <f>'Расчет лесов'!K3+'Расчет лесов'!K5+'Расчет лесов'!K7+'Расчет лесов'!K9</f>
        <v>8</v>
      </c>
    </row>
    <row r="7" spans="1:64">
      <c r="C7" s="94" t="s">
        <v>197</v>
      </c>
      <c r="AV7" s="98" t="s">
        <v>96</v>
      </c>
      <c r="AW7" s="99" t="s">
        <v>259</v>
      </c>
    </row>
    <row r="8" spans="1:64">
      <c r="A8" s="452" t="s">
        <v>196</v>
      </c>
      <c r="B8" s="452"/>
      <c r="C8" s="452"/>
      <c r="D8" s="452"/>
      <c r="E8" s="452"/>
      <c r="F8" s="452"/>
      <c r="G8" s="452"/>
      <c r="H8" s="452"/>
      <c r="I8" s="452"/>
      <c r="J8" s="452"/>
      <c r="K8" s="452"/>
      <c r="L8" s="452"/>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2"/>
      <c r="AM8" s="452"/>
      <c r="AN8" s="452"/>
      <c r="AO8" s="452"/>
      <c r="AP8" s="452"/>
      <c r="AQ8" s="452"/>
      <c r="AR8" s="452"/>
      <c r="AS8" s="452"/>
      <c r="AV8" s="98" t="s">
        <v>97</v>
      </c>
      <c r="AW8" s="99" t="s">
        <v>200</v>
      </c>
    </row>
    <row r="9" spans="1:64">
      <c r="A9" s="452"/>
      <c r="B9" s="452"/>
      <c r="C9" s="452"/>
      <c r="D9" s="452"/>
      <c r="E9" s="452"/>
      <c r="F9" s="452"/>
      <c r="G9" s="452"/>
      <c r="H9" s="452"/>
      <c r="I9" s="452"/>
      <c r="J9" s="452"/>
      <c r="K9" s="452"/>
      <c r="L9" s="452"/>
      <c r="M9" s="452"/>
      <c r="N9" s="452"/>
      <c r="O9" s="452"/>
      <c r="P9" s="452"/>
      <c r="Q9" s="452"/>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V9" s="98" t="s">
        <v>98</v>
      </c>
      <c r="AW9" s="98" t="s">
        <v>260</v>
      </c>
    </row>
    <row r="10" spans="1:64">
      <c r="A10" s="452"/>
      <c r="B10" s="452"/>
      <c r="C10" s="452"/>
      <c r="D10" s="452"/>
      <c r="E10" s="452"/>
      <c r="F10" s="452"/>
      <c r="G10" s="452"/>
      <c r="H10" s="452"/>
      <c r="I10" s="452"/>
      <c r="J10" s="452"/>
      <c r="K10" s="452"/>
      <c r="L10" s="452"/>
      <c r="M10" s="452"/>
      <c r="N10" s="452"/>
      <c r="O10" s="452"/>
      <c r="P10" s="452"/>
      <c r="Q10" s="452"/>
      <c r="R10" s="452"/>
      <c r="S10" s="452"/>
      <c r="T10" s="452"/>
      <c r="U10" s="452"/>
      <c r="V10" s="452"/>
      <c r="W10" s="452"/>
      <c r="X10" s="452"/>
      <c r="Y10" s="452"/>
      <c r="Z10" s="452"/>
      <c r="AA10" s="452"/>
      <c r="AB10" s="452"/>
      <c r="AC10" s="452"/>
      <c r="AD10" s="452"/>
      <c r="AE10" s="452"/>
      <c r="AF10" s="452"/>
      <c r="AG10" s="452"/>
      <c r="AH10" s="452"/>
      <c r="AI10" s="452"/>
      <c r="AJ10" s="452"/>
      <c r="AK10" s="452"/>
      <c r="AL10" s="452"/>
      <c r="AM10" s="452"/>
      <c r="AN10" s="452"/>
      <c r="AO10" s="452"/>
      <c r="AP10" s="452"/>
      <c r="AQ10" s="452"/>
      <c r="AR10" s="452"/>
      <c r="AS10" s="452"/>
    </row>
    <row r="11" spans="1:64" ht="15.75" customHeight="1">
      <c r="C11" s="94" t="s">
        <v>195</v>
      </c>
      <c r="J11" s="93" t="s">
        <v>267</v>
      </c>
      <c r="AV11" s="93" t="s">
        <v>104</v>
      </c>
      <c r="AW11" s="127" t="str">
        <f>SUBSTITUTE(PROPER(INDEX(n_4,MID(TEXT(A1,n0),1,1)+1)&amp;INDEX(n0x,MID(TEXT(A1,n0),2,1)+1,MID(TEXT(A1,n0),3,1)+1)&amp;IF(-MID(TEXT(A1,n0),1,3),"миллиард"&amp;VLOOKUP(MID(TEXT(A1,n0),3,1)*AND(MID(TEXT(A1,n0),2,1)-1),мил,2),"")&amp;INDEX(n_4,MID(TEXT(A1,n0),4,1)+1)&amp;INDEX(n0x,MID(TEXT(A1,n0),5,1)+1,MID(TEXT(A1,n0),6,1)+1)&amp;IF(-MID(TEXT(A1,n0),4,3),"миллион"&amp;VLOOKUP(MID(TEXT(A1,n0),6,1)*AND(MID(TEXT(A1,n0),5,1)-1),мил,2),"")&amp;INDEX(n_4,MID(TEXT(A1,n0),7,1)+1)&amp;INDEX(n1x,MID(TEXT(A1,n0),8,1)+1,MID(TEXT(A1,n0),9,1)+1)&amp;IF(-MID(TEXT(A1,n0),7,3),VLOOKUP(MID(TEXT(A1,n0),9,1)*AND(MID(TEXT(A1,n0),8,1)-1),тыс,2),"")&amp;INDEX(n_4,MID(TEXT(A1,n0),10,1)+1)&amp;INDEX(n0x,MID(TEXT(A1,n0),11,1)+1,MID(TEXT(A1,n0),12,1)+1)),"z"," ")&amp;IF(TRUNC(TEXT(A1,n0)),"","Ноль ")&amp;"рубл"&amp;VLOOKUP(MOD(MAX(MOD(MID(TEXT(A1,n0),11,2)-11,100),9),10),{0,"ь ";1,"я ";4,"ей "},2)&amp;RIGHT(TEXT(A1,n0),2)&amp;" копе"&amp;VLOOKUP(MOD(MAX(MOD(RIGHT(TEXT(A1,n0),2)-11,100),9),10),{0,"йка";1,"йки";4,"ек"},2)</f>
        <v>Двести десять рублей 00 копеек</v>
      </c>
    </row>
    <row r="12" spans="1:64">
      <c r="A12" s="94" t="s">
        <v>268</v>
      </c>
      <c r="V12" s="128"/>
      <c r="AV12" s="93" t="s">
        <v>114</v>
      </c>
    </row>
    <row r="13" spans="1:64">
      <c r="A13" s="94" t="s">
        <v>269</v>
      </c>
      <c r="V13" s="93" t="s">
        <v>270</v>
      </c>
      <c r="AV13" s="93" t="s">
        <v>131</v>
      </c>
      <c r="AW13" s="96"/>
    </row>
    <row r="14" spans="1:64">
      <c r="A14" s="94" t="s">
        <v>271</v>
      </c>
    </row>
    <row r="15" spans="1:64">
      <c r="A15" s="93" t="s">
        <v>272</v>
      </c>
    </row>
    <row r="17" spans="1:45">
      <c r="A17" s="468" t="s">
        <v>99</v>
      </c>
      <c r="B17" s="468"/>
      <c r="C17" s="468"/>
      <c r="D17" s="468"/>
      <c r="E17" s="468"/>
      <c r="F17" s="468"/>
      <c r="G17" s="468"/>
      <c r="H17" s="468"/>
      <c r="I17" s="468"/>
      <c r="J17" s="468"/>
      <c r="K17" s="468"/>
      <c r="L17" s="468"/>
      <c r="M17" s="468"/>
      <c r="N17" s="468"/>
      <c r="O17" s="468"/>
      <c r="P17" s="468"/>
      <c r="Q17" s="468"/>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row>
    <row r="19" spans="1:45">
      <c r="A19" s="455" t="str">
        <f>CONCATENATE("1.1. Арендодатель обязуется предоставить во временное владение и пользование Арендатору строительные леса (длина ",BL5,"м, высота ",BL6,"м) согласно Акту приема-передачи (приложение №1) настоящего договора, именуемые в дальнейшем «оборудование».")</f>
        <v>1.1. Арендодатель обязуется предоставить во временное владение и пользование Арендатору строительные леса (длина 3м, высота 8м) согласно Акту приема-передачи (приложение №1) настоящего договора, именуемые в дальнейшем «оборудование».</v>
      </c>
      <c r="B19" s="455"/>
      <c r="C19" s="455"/>
      <c r="D19" s="455"/>
      <c r="E19" s="455"/>
      <c r="F19" s="455"/>
      <c r="G19" s="455"/>
      <c r="H19" s="455"/>
      <c r="I19" s="455"/>
      <c r="J19" s="455"/>
      <c r="K19" s="455"/>
      <c r="L19" s="455"/>
      <c r="M19" s="455"/>
      <c r="N19" s="455"/>
      <c r="O19" s="455"/>
      <c r="P19" s="455"/>
      <c r="Q19" s="455"/>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row>
    <row r="20" spans="1:45">
      <c r="A20" s="455"/>
      <c r="B20" s="455"/>
      <c r="C20" s="455"/>
      <c r="D20" s="455"/>
      <c r="E20" s="455"/>
      <c r="F20" s="455"/>
      <c r="G20" s="455"/>
      <c r="H20" s="455"/>
      <c r="I20" s="455"/>
      <c r="J20" s="455"/>
      <c r="K20" s="455"/>
      <c r="L20" s="455"/>
      <c r="M20" s="455"/>
      <c r="N20" s="455"/>
      <c r="O20" s="455"/>
      <c r="P20" s="455"/>
      <c r="Q20" s="455"/>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row>
    <row r="21" spans="1:45">
      <c r="A21" s="455"/>
      <c r="B21" s="455"/>
      <c r="C21" s="455"/>
      <c r="D21" s="455"/>
      <c r="E21" s="455"/>
      <c r="F21" s="455"/>
      <c r="G21" s="455"/>
      <c r="H21" s="455"/>
      <c r="I21" s="455"/>
      <c r="J21" s="455"/>
      <c r="K21" s="455"/>
      <c r="L21" s="455"/>
      <c r="M21" s="455"/>
      <c r="N21" s="455"/>
      <c r="O21" s="455"/>
      <c r="P21" s="455"/>
      <c r="Q21" s="455"/>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row>
    <row r="22" spans="1:45">
      <c r="A22" s="94" t="s">
        <v>100</v>
      </c>
    </row>
    <row r="23" spans="1:45" ht="31.5" customHeight="1">
      <c r="A23" s="455" t="s">
        <v>193</v>
      </c>
      <c r="B23" s="455"/>
      <c r="C23" s="455"/>
      <c r="D23" s="455"/>
      <c r="E23" s="455"/>
      <c r="F23" s="455"/>
      <c r="G23" s="455"/>
      <c r="H23" s="455"/>
      <c r="I23" s="455"/>
      <c r="J23" s="455"/>
      <c r="K23" s="455"/>
      <c r="L23" s="455"/>
      <c r="M23" s="455"/>
      <c r="N23" s="455"/>
      <c r="O23" s="455"/>
      <c r="P23" s="455"/>
      <c r="Q23" s="455"/>
      <c r="R23" s="455"/>
      <c r="S23" s="455"/>
      <c r="T23" s="455"/>
      <c r="U23" s="455"/>
      <c r="V23" s="455"/>
      <c r="W23" s="455"/>
      <c r="X23" s="455"/>
      <c r="Y23" s="455"/>
      <c r="Z23" s="455"/>
      <c r="AA23" s="455"/>
      <c r="AB23" s="455"/>
      <c r="AC23" s="455"/>
      <c r="AD23" s="455"/>
      <c r="AE23" s="455"/>
      <c r="AF23" s="455"/>
      <c r="AG23" s="455"/>
      <c r="AH23" s="455"/>
      <c r="AI23" s="455"/>
      <c r="AJ23" s="455"/>
      <c r="AK23" s="455"/>
      <c r="AL23" s="455"/>
      <c r="AM23" s="455"/>
      <c r="AN23" s="455"/>
      <c r="AO23" s="455"/>
      <c r="AP23" s="455"/>
      <c r="AQ23" s="455"/>
      <c r="AR23" s="455"/>
      <c r="AS23" s="455"/>
    </row>
    <row r="25" spans="1:45">
      <c r="A25" s="468" t="s">
        <v>101</v>
      </c>
      <c r="B25" s="468"/>
      <c r="C25" s="468"/>
      <c r="D25" s="468"/>
      <c r="E25" s="468"/>
      <c r="F25" s="468"/>
      <c r="G25" s="468"/>
      <c r="H25" s="468"/>
      <c r="I25" s="468"/>
      <c r="J25" s="468"/>
      <c r="K25" s="468"/>
      <c r="L25" s="468"/>
      <c r="M25" s="468"/>
      <c r="N25" s="468"/>
      <c r="O25" s="468"/>
      <c r="P25" s="468"/>
      <c r="Q25" s="468"/>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row>
    <row r="27" spans="1:45">
      <c r="A27" s="469" t="s">
        <v>262</v>
      </c>
      <c r="B27" s="470"/>
      <c r="C27" s="470"/>
      <c r="D27" s="470"/>
      <c r="E27" s="470"/>
      <c r="F27" s="470"/>
      <c r="G27" s="470"/>
      <c r="H27" s="470"/>
      <c r="I27" s="470"/>
      <c r="J27" s="470"/>
      <c r="K27" s="470"/>
      <c r="L27" s="470"/>
      <c r="M27" s="470"/>
      <c r="N27" s="470"/>
      <c r="O27" s="470"/>
      <c r="P27" s="470"/>
      <c r="Q27" s="470"/>
      <c r="R27" s="470"/>
      <c r="S27" s="470"/>
      <c r="T27" s="470"/>
      <c r="U27" s="470"/>
      <c r="V27" s="470"/>
      <c r="W27" s="470"/>
      <c r="X27" s="470"/>
      <c r="Y27" s="470"/>
      <c r="Z27" s="470"/>
      <c r="AA27" s="470"/>
      <c r="AB27" s="470"/>
      <c r="AC27" s="470"/>
      <c r="AD27" s="470"/>
      <c r="AE27" s="470"/>
      <c r="AF27" s="470"/>
      <c r="AG27" s="470"/>
      <c r="AH27" s="470"/>
      <c r="AI27" s="470"/>
      <c r="AJ27" s="470"/>
      <c r="AK27" s="470"/>
      <c r="AL27" s="470"/>
      <c r="AM27" s="470"/>
      <c r="AN27" s="470"/>
      <c r="AO27" s="470"/>
      <c r="AP27" s="470"/>
      <c r="AQ27" s="470"/>
      <c r="AR27" s="470"/>
      <c r="AS27" s="470"/>
    </row>
    <row r="28" spans="1:45" ht="15.75" customHeight="1">
      <c r="A28" s="470"/>
      <c r="B28" s="470"/>
      <c r="C28" s="470"/>
      <c r="D28" s="470"/>
      <c r="E28" s="470"/>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row>
    <row r="29" spans="1:45" ht="32.25" customHeight="1">
      <c r="A29" s="470"/>
      <c r="B29" s="470"/>
      <c r="C29" s="470"/>
      <c r="D29" s="470"/>
      <c r="E29" s="470"/>
      <c r="F29" s="470"/>
      <c r="G29" s="470"/>
      <c r="H29" s="470"/>
      <c r="I29" s="470"/>
      <c r="J29" s="470"/>
      <c r="K29" s="470"/>
      <c r="L29" s="470"/>
      <c r="M29" s="470"/>
      <c r="N29" s="470"/>
      <c r="O29" s="470"/>
      <c r="P29" s="470"/>
      <c r="Q29" s="470"/>
      <c r="R29" s="470"/>
      <c r="S29" s="470"/>
      <c r="T29" s="470"/>
      <c r="U29" s="470"/>
      <c r="V29" s="470"/>
      <c r="W29" s="470"/>
      <c r="X29" s="470"/>
      <c r="Y29" s="470"/>
      <c r="Z29" s="470"/>
      <c r="AA29" s="470"/>
      <c r="AB29" s="470"/>
      <c r="AC29" s="470"/>
      <c r="AD29" s="470"/>
      <c r="AE29" s="470"/>
      <c r="AF29" s="470"/>
      <c r="AG29" s="470"/>
      <c r="AH29" s="470"/>
      <c r="AI29" s="470"/>
      <c r="AJ29" s="470"/>
      <c r="AK29" s="470"/>
      <c r="AL29" s="470"/>
      <c r="AM29" s="470"/>
      <c r="AN29" s="470"/>
      <c r="AO29" s="470"/>
      <c r="AP29" s="470"/>
      <c r="AQ29" s="470"/>
      <c r="AR29" s="470"/>
      <c r="AS29" s="470"/>
    </row>
    <row r="30" spans="1:45" ht="15.75" customHeight="1">
      <c r="A30" s="470"/>
      <c r="B30" s="470"/>
      <c r="C30" s="470"/>
      <c r="D30" s="470"/>
      <c r="E30" s="470"/>
      <c r="F30" s="470"/>
      <c r="G30" s="470"/>
      <c r="H30" s="470"/>
      <c r="I30" s="470"/>
      <c r="J30" s="470"/>
      <c r="K30" s="470"/>
      <c r="L30" s="470"/>
      <c r="M30" s="470"/>
      <c r="N30" s="470"/>
      <c r="O30" s="470"/>
      <c r="P30" s="470"/>
      <c r="Q30" s="470"/>
      <c r="R30" s="470"/>
      <c r="S30" s="470"/>
      <c r="T30" s="470"/>
      <c r="U30" s="470"/>
      <c r="V30" s="470"/>
      <c r="W30" s="470"/>
      <c r="X30" s="470"/>
      <c r="Y30" s="470"/>
      <c r="Z30" s="470"/>
      <c r="AA30" s="470"/>
      <c r="AB30" s="470"/>
      <c r="AC30" s="470"/>
      <c r="AD30" s="470"/>
      <c r="AE30" s="470"/>
      <c r="AF30" s="470"/>
      <c r="AG30" s="470"/>
      <c r="AH30" s="470"/>
      <c r="AI30" s="470"/>
      <c r="AJ30" s="470"/>
      <c r="AK30" s="470"/>
      <c r="AL30" s="470"/>
      <c r="AM30" s="470"/>
      <c r="AN30" s="470"/>
      <c r="AO30" s="470"/>
      <c r="AP30" s="470"/>
      <c r="AQ30" s="470"/>
      <c r="AR30" s="470"/>
      <c r="AS30" s="470"/>
    </row>
    <row r="31" spans="1:45">
      <c r="A31" s="470"/>
      <c r="B31" s="470"/>
      <c r="C31" s="470"/>
      <c r="D31" s="470"/>
      <c r="E31" s="470"/>
      <c r="F31" s="470"/>
      <c r="G31" s="470"/>
      <c r="H31" s="470"/>
      <c r="I31" s="470"/>
      <c r="J31" s="470"/>
      <c r="K31" s="470"/>
      <c r="L31" s="470"/>
      <c r="M31" s="470"/>
      <c r="N31" s="470"/>
      <c r="O31" s="470"/>
      <c r="P31" s="470"/>
      <c r="Q31" s="470"/>
      <c r="R31" s="470"/>
      <c r="S31" s="470"/>
      <c r="T31" s="470"/>
      <c r="U31" s="470"/>
      <c r="V31" s="470"/>
      <c r="W31" s="470"/>
      <c r="X31" s="470"/>
      <c r="Y31" s="470"/>
      <c r="Z31" s="470"/>
      <c r="AA31" s="470"/>
      <c r="AB31" s="470"/>
      <c r="AC31" s="470"/>
      <c r="AD31" s="470"/>
      <c r="AE31" s="470"/>
      <c r="AF31" s="470"/>
      <c r="AG31" s="470"/>
      <c r="AH31" s="470"/>
      <c r="AI31" s="470"/>
      <c r="AJ31" s="470"/>
      <c r="AK31" s="470"/>
      <c r="AL31" s="470"/>
      <c r="AM31" s="470"/>
      <c r="AN31" s="470"/>
      <c r="AO31" s="470"/>
      <c r="AP31" s="470"/>
      <c r="AQ31" s="470"/>
      <c r="AR31" s="470"/>
      <c r="AS31" s="470"/>
    </row>
    <row r="32" spans="1:45" ht="15.75" customHeight="1">
      <c r="A32" s="470"/>
      <c r="B32" s="470"/>
      <c r="C32" s="470"/>
      <c r="D32" s="470"/>
      <c r="E32" s="470"/>
      <c r="F32" s="470"/>
      <c r="G32" s="470"/>
      <c r="H32" s="470"/>
      <c r="I32" s="470"/>
      <c r="J32" s="470"/>
      <c r="K32" s="470"/>
      <c r="L32" s="470"/>
      <c r="M32" s="470"/>
      <c r="N32" s="470"/>
      <c r="O32" s="470"/>
      <c r="P32" s="470"/>
      <c r="Q32" s="470"/>
      <c r="R32" s="470"/>
      <c r="S32" s="470"/>
      <c r="T32" s="470"/>
      <c r="U32" s="470"/>
      <c r="V32" s="470"/>
      <c r="W32" s="470"/>
      <c r="X32" s="470"/>
      <c r="Y32" s="470"/>
      <c r="Z32" s="470"/>
      <c r="AA32" s="470"/>
      <c r="AB32" s="470"/>
      <c r="AC32" s="470"/>
      <c r="AD32" s="470"/>
      <c r="AE32" s="470"/>
      <c r="AF32" s="470"/>
      <c r="AG32" s="470"/>
      <c r="AH32" s="470"/>
      <c r="AI32" s="470"/>
      <c r="AJ32" s="470"/>
      <c r="AK32" s="470"/>
      <c r="AL32" s="470"/>
      <c r="AM32" s="470"/>
      <c r="AN32" s="470"/>
      <c r="AO32" s="470"/>
      <c r="AP32" s="470"/>
      <c r="AQ32" s="470"/>
      <c r="AR32" s="470"/>
      <c r="AS32" s="470"/>
    </row>
    <row r="33" spans="1:45" ht="32.25" customHeight="1">
      <c r="A33" s="470"/>
      <c r="B33" s="470"/>
      <c r="C33" s="470"/>
      <c r="D33" s="470"/>
      <c r="E33" s="470"/>
      <c r="F33" s="470"/>
      <c r="G33" s="470"/>
      <c r="H33" s="470"/>
      <c r="I33" s="470"/>
      <c r="J33" s="470"/>
      <c r="K33" s="470"/>
      <c r="L33" s="470"/>
      <c r="M33" s="470"/>
      <c r="N33" s="470"/>
      <c r="O33" s="470"/>
      <c r="P33" s="470"/>
      <c r="Q33" s="470"/>
      <c r="R33" s="470"/>
      <c r="S33" s="470"/>
      <c r="T33" s="470"/>
      <c r="U33" s="470"/>
      <c r="V33" s="470"/>
      <c r="W33" s="470"/>
      <c r="X33" s="470"/>
      <c r="Y33" s="470"/>
      <c r="Z33" s="470"/>
      <c r="AA33" s="470"/>
      <c r="AB33" s="470"/>
      <c r="AC33" s="470"/>
      <c r="AD33" s="470"/>
      <c r="AE33" s="470"/>
      <c r="AF33" s="470"/>
      <c r="AG33" s="470"/>
      <c r="AH33" s="470"/>
      <c r="AI33" s="470"/>
      <c r="AJ33" s="470"/>
      <c r="AK33" s="470"/>
      <c r="AL33" s="470"/>
      <c r="AM33" s="470"/>
      <c r="AN33" s="470"/>
      <c r="AO33" s="470"/>
      <c r="AP33" s="470"/>
      <c r="AQ33" s="470"/>
      <c r="AR33" s="470"/>
      <c r="AS33" s="470"/>
    </row>
    <row r="34" spans="1:45">
      <c r="A34" s="470"/>
      <c r="B34" s="470"/>
      <c r="C34" s="470"/>
      <c r="D34" s="470"/>
      <c r="E34" s="470"/>
      <c r="F34" s="470"/>
      <c r="G34" s="470"/>
      <c r="H34" s="470"/>
      <c r="I34" s="470"/>
      <c r="J34" s="470"/>
      <c r="K34" s="470"/>
      <c r="L34" s="470"/>
      <c r="M34" s="470"/>
      <c r="N34" s="470"/>
      <c r="O34" s="470"/>
      <c r="P34" s="470"/>
      <c r="Q34" s="470"/>
      <c r="R34" s="470"/>
      <c r="S34" s="470"/>
      <c r="T34" s="470"/>
      <c r="U34" s="470"/>
      <c r="V34" s="470"/>
      <c r="W34" s="470"/>
      <c r="X34" s="470"/>
      <c r="Y34" s="470"/>
      <c r="Z34" s="470"/>
      <c r="AA34" s="470"/>
      <c r="AB34" s="470"/>
      <c r="AC34" s="470"/>
      <c r="AD34" s="470"/>
      <c r="AE34" s="470"/>
      <c r="AF34" s="470"/>
      <c r="AG34" s="470"/>
      <c r="AH34" s="470"/>
      <c r="AI34" s="470"/>
      <c r="AJ34" s="470"/>
      <c r="AK34" s="470"/>
      <c r="AL34" s="470"/>
      <c r="AM34" s="470"/>
      <c r="AN34" s="470"/>
      <c r="AO34" s="470"/>
      <c r="AP34" s="470"/>
      <c r="AQ34" s="470"/>
      <c r="AR34" s="470"/>
      <c r="AS34" s="470"/>
    </row>
    <row r="35" spans="1:45">
      <c r="A35" s="470"/>
      <c r="B35" s="470"/>
      <c r="C35" s="470"/>
      <c r="D35" s="470"/>
      <c r="E35" s="470"/>
      <c r="F35" s="470"/>
      <c r="G35" s="470"/>
      <c r="H35" s="470"/>
      <c r="I35" s="470"/>
      <c r="J35" s="470"/>
      <c r="K35" s="470"/>
      <c r="L35" s="470"/>
      <c r="M35" s="470"/>
      <c r="N35" s="470"/>
      <c r="O35" s="470"/>
      <c r="P35" s="470"/>
      <c r="Q35" s="470"/>
      <c r="R35" s="470"/>
      <c r="S35" s="470"/>
      <c r="T35" s="470"/>
      <c r="U35" s="470"/>
      <c r="V35" s="470"/>
      <c r="W35" s="470"/>
      <c r="X35" s="470"/>
      <c r="Y35" s="470"/>
      <c r="Z35" s="470"/>
      <c r="AA35" s="470"/>
      <c r="AB35" s="470"/>
      <c r="AC35" s="470"/>
      <c r="AD35" s="470"/>
      <c r="AE35" s="470"/>
      <c r="AF35" s="470"/>
      <c r="AG35" s="470"/>
      <c r="AH35" s="470"/>
      <c r="AI35" s="470"/>
      <c r="AJ35" s="470"/>
      <c r="AK35" s="470"/>
      <c r="AL35" s="470"/>
      <c r="AM35" s="470"/>
      <c r="AN35" s="470"/>
      <c r="AO35" s="470"/>
      <c r="AP35" s="470"/>
      <c r="AQ35" s="470"/>
      <c r="AR35" s="470"/>
      <c r="AS35" s="470"/>
    </row>
    <row r="36" spans="1:45">
      <c r="A36" s="470"/>
      <c r="B36" s="470"/>
      <c r="C36" s="470"/>
      <c r="D36" s="470"/>
      <c r="E36" s="470"/>
      <c r="F36" s="470"/>
      <c r="G36" s="470"/>
      <c r="H36" s="470"/>
      <c r="I36" s="470"/>
      <c r="J36" s="470"/>
      <c r="K36" s="470"/>
      <c r="L36" s="470"/>
      <c r="M36" s="470"/>
      <c r="N36" s="470"/>
      <c r="O36" s="470"/>
      <c r="P36" s="470"/>
      <c r="Q36" s="470"/>
      <c r="R36" s="470"/>
      <c r="S36" s="470"/>
      <c r="T36" s="470"/>
      <c r="U36" s="470"/>
      <c r="V36" s="470"/>
      <c r="W36" s="470"/>
      <c r="X36" s="470"/>
      <c r="Y36" s="470"/>
      <c r="Z36" s="470"/>
      <c r="AA36" s="470"/>
      <c r="AB36" s="470"/>
      <c r="AC36" s="470"/>
      <c r="AD36" s="470"/>
      <c r="AE36" s="470"/>
      <c r="AF36" s="470"/>
      <c r="AG36" s="470"/>
      <c r="AH36" s="470"/>
      <c r="AI36" s="470"/>
      <c r="AJ36" s="470"/>
      <c r="AK36" s="470"/>
      <c r="AL36" s="470"/>
      <c r="AM36" s="470"/>
      <c r="AN36" s="470"/>
      <c r="AO36" s="470"/>
      <c r="AP36" s="470"/>
      <c r="AQ36" s="470"/>
      <c r="AR36" s="470"/>
      <c r="AS36" s="470"/>
    </row>
    <row r="37" spans="1:45">
      <c r="A37" s="470"/>
      <c r="B37" s="470"/>
      <c r="C37" s="470"/>
      <c r="D37" s="470"/>
      <c r="E37" s="470"/>
      <c r="F37" s="470"/>
      <c r="G37" s="470"/>
      <c r="H37" s="470"/>
      <c r="I37" s="470"/>
      <c r="J37" s="470"/>
      <c r="K37" s="470"/>
      <c r="L37" s="470"/>
      <c r="M37" s="470"/>
      <c r="N37" s="470"/>
      <c r="O37" s="470"/>
      <c r="P37" s="470"/>
      <c r="Q37" s="470"/>
      <c r="R37" s="470"/>
      <c r="S37" s="470"/>
      <c r="T37" s="470"/>
      <c r="U37" s="470"/>
      <c r="V37" s="470"/>
      <c r="W37" s="470"/>
      <c r="X37" s="470"/>
      <c r="Y37" s="470"/>
      <c r="Z37" s="470"/>
      <c r="AA37" s="470"/>
      <c r="AB37" s="470"/>
      <c r="AC37" s="470"/>
      <c r="AD37" s="470"/>
      <c r="AE37" s="470"/>
      <c r="AF37" s="470"/>
      <c r="AG37" s="470"/>
      <c r="AH37" s="470"/>
      <c r="AI37" s="470"/>
      <c r="AJ37" s="470"/>
      <c r="AK37" s="470"/>
      <c r="AL37" s="470"/>
      <c r="AM37" s="470"/>
      <c r="AN37" s="470"/>
      <c r="AO37" s="470"/>
      <c r="AP37" s="470"/>
      <c r="AQ37" s="470"/>
      <c r="AR37" s="470"/>
      <c r="AS37" s="470"/>
    </row>
    <row r="38" spans="1:45">
      <c r="A38" s="470"/>
      <c r="B38" s="470"/>
      <c r="C38" s="470"/>
      <c r="D38" s="470"/>
      <c r="E38" s="470"/>
      <c r="F38" s="470"/>
      <c r="G38" s="470"/>
      <c r="H38" s="470"/>
      <c r="I38" s="470"/>
      <c r="J38" s="470"/>
      <c r="K38" s="470"/>
      <c r="L38" s="470"/>
      <c r="M38" s="470"/>
      <c r="N38" s="470"/>
      <c r="O38" s="470"/>
      <c r="P38" s="470"/>
      <c r="Q38" s="470"/>
      <c r="R38" s="470"/>
      <c r="S38" s="470"/>
      <c r="T38" s="470"/>
      <c r="U38" s="470"/>
      <c r="V38" s="470"/>
      <c r="W38" s="470"/>
      <c r="X38" s="470"/>
      <c r="Y38" s="470"/>
      <c r="Z38" s="470"/>
      <c r="AA38" s="470"/>
      <c r="AB38" s="470"/>
      <c r="AC38" s="470"/>
      <c r="AD38" s="470"/>
      <c r="AE38" s="470"/>
      <c r="AF38" s="470"/>
      <c r="AG38" s="470"/>
      <c r="AH38" s="470"/>
      <c r="AI38" s="470"/>
      <c r="AJ38" s="470"/>
      <c r="AK38" s="470"/>
      <c r="AL38" s="470"/>
      <c r="AM38" s="470"/>
      <c r="AN38" s="470"/>
      <c r="AO38" s="470"/>
      <c r="AP38" s="470"/>
      <c r="AQ38" s="470"/>
      <c r="AR38" s="470"/>
      <c r="AS38" s="470"/>
    </row>
    <row r="39" spans="1:45">
      <c r="A39" s="470"/>
      <c r="B39" s="470"/>
      <c r="C39" s="470"/>
      <c r="D39" s="470"/>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c r="AC39" s="470"/>
      <c r="AD39" s="470"/>
      <c r="AE39" s="470"/>
      <c r="AF39" s="470"/>
      <c r="AG39" s="470"/>
      <c r="AH39" s="470"/>
      <c r="AI39" s="470"/>
      <c r="AJ39" s="470"/>
      <c r="AK39" s="470"/>
      <c r="AL39" s="470"/>
      <c r="AM39" s="470"/>
      <c r="AN39" s="470"/>
      <c r="AO39" s="470"/>
      <c r="AP39" s="470"/>
      <c r="AQ39" s="470"/>
      <c r="AR39" s="470"/>
      <c r="AS39" s="470"/>
    </row>
    <row r="40" spans="1:45">
      <c r="A40" s="470"/>
      <c r="B40" s="470"/>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c r="AD40" s="470"/>
      <c r="AE40" s="470"/>
      <c r="AF40" s="470"/>
      <c r="AG40" s="470"/>
      <c r="AH40" s="470"/>
      <c r="AI40" s="470"/>
      <c r="AJ40" s="470"/>
      <c r="AK40" s="470"/>
      <c r="AL40" s="470"/>
      <c r="AM40" s="470"/>
      <c r="AN40" s="470"/>
      <c r="AO40" s="470"/>
      <c r="AP40" s="470"/>
      <c r="AQ40" s="470"/>
      <c r="AR40" s="470"/>
      <c r="AS40" s="470"/>
    </row>
    <row r="41" spans="1:45">
      <c r="A41" s="470"/>
      <c r="B41" s="470"/>
      <c r="C41" s="470"/>
      <c r="D41" s="470"/>
      <c r="E41" s="470"/>
      <c r="F41" s="470"/>
      <c r="G41" s="470"/>
      <c r="H41" s="470"/>
      <c r="I41" s="470"/>
      <c r="J41" s="470"/>
      <c r="K41" s="470"/>
      <c r="L41" s="470"/>
      <c r="M41" s="470"/>
      <c r="N41" s="470"/>
      <c r="O41" s="470"/>
      <c r="P41" s="470"/>
      <c r="Q41" s="470"/>
      <c r="R41" s="470"/>
      <c r="S41" s="470"/>
      <c r="T41" s="470"/>
      <c r="U41" s="470"/>
      <c r="V41" s="470"/>
      <c r="W41" s="470"/>
      <c r="X41" s="470"/>
      <c r="Y41" s="470"/>
      <c r="Z41" s="470"/>
      <c r="AA41" s="470"/>
      <c r="AB41" s="470"/>
      <c r="AC41" s="470"/>
      <c r="AD41" s="470"/>
      <c r="AE41" s="470"/>
      <c r="AF41" s="470"/>
      <c r="AG41" s="470"/>
      <c r="AH41" s="470"/>
      <c r="AI41" s="470"/>
      <c r="AJ41" s="470"/>
      <c r="AK41" s="470"/>
      <c r="AL41" s="470"/>
      <c r="AM41" s="470"/>
      <c r="AN41" s="470"/>
      <c r="AO41" s="470"/>
      <c r="AP41" s="470"/>
      <c r="AQ41" s="470"/>
      <c r="AR41" s="470"/>
      <c r="AS41" s="470"/>
    </row>
    <row r="42" spans="1:45">
      <c r="A42" s="470"/>
      <c r="B42" s="470"/>
      <c r="C42" s="470"/>
      <c r="D42" s="470"/>
      <c r="E42" s="470"/>
      <c r="F42" s="470"/>
      <c r="G42" s="470"/>
      <c r="H42" s="470"/>
      <c r="I42" s="470"/>
      <c r="J42" s="470"/>
      <c r="K42" s="470"/>
      <c r="L42" s="470"/>
      <c r="M42" s="470"/>
      <c r="N42" s="470"/>
      <c r="O42" s="470"/>
      <c r="P42" s="470"/>
      <c r="Q42" s="470"/>
      <c r="R42" s="470"/>
      <c r="S42" s="470"/>
      <c r="T42" s="470"/>
      <c r="U42" s="470"/>
      <c r="V42" s="470"/>
      <c r="W42" s="470"/>
      <c r="X42" s="470"/>
      <c r="Y42" s="470"/>
      <c r="Z42" s="470"/>
      <c r="AA42" s="470"/>
      <c r="AB42" s="470"/>
      <c r="AC42" s="470"/>
      <c r="AD42" s="470"/>
      <c r="AE42" s="470"/>
      <c r="AF42" s="470"/>
      <c r="AG42" s="470"/>
      <c r="AH42" s="470"/>
      <c r="AI42" s="470"/>
      <c r="AJ42" s="470"/>
      <c r="AK42" s="470"/>
      <c r="AL42" s="470"/>
      <c r="AM42" s="470"/>
      <c r="AN42" s="470"/>
      <c r="AO42" s="470"/>
      <c r="AP42" s="470"/>
      <c r="AQ42" s="470"/>
      <c r="AR42" s="470"/>
      <c r="AS42" s="470"/>
    </row>
    <row r="43" spans="1:45">
      <c r="A43" s="470"/>
      <c r="B43" s="470"/>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c r="AA43" s="470"/>
      <c r="AB43" s="470"/>
      <c r="AC43" s="470"/>
      <c r="AD43" s="470"/>
      <c r="AE43" s="470"/>
      <c r="AF43" s="470"/>
      <c r="AG43" s="470"/>
      <c r="AH43" s="470"/>
      <c r="AI43" s="470"/>
      <c r="AJ43" s="470"/>
      <c r="AK43" s="470"/>
      <c r="AL43" s="470"/>
      <c r="AM43" s="470"/>
      <c r="AN43" s="470"/>
      <c r="AO43" s="470"/>
      <c r="AP43" s="470"/>
      <c r="AQ43" s="470"/>
      <c r="AR43" s="470"/>
      <c r="AS43" s="470"/>
    </row>
    <row r="44" spans="1:45">
      <c r="A44" s="470"/>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row>
    <row r="45" spans="1:45" ht="73.5" customHeight="1">
      <c r="A45" s="470"/>
      <c r="B45" s="470"/>
      <c r="C45" s="470"/>
      <c r="D45" s="470"/>
      <c r="E45" s="470"/>
      <c r="F45" s="470"/>
      <c r="G45" s="470"/>
      <c r="H45" s="470"/>
      <c r="I45" s="470"/>
      <c r="J45" s="470"/>
      <c r="K45" s="470"/>
      <c r="L45" s="470"/>
      <c r="M45" s="470"/>
      <c r="N45" s="470"/>
      <c r="O45" s="470"/>
      <c r="P45" s="470"/>
      <c r="Q45" s="470"/>
      <c r="R45" s="470"/>
      <c r="S45" s="470"/>
      <c r="T45" s="470"/>
      <c r="U45" s="470"/>
      <c r="V45" s="470"/>
      <c r="W45" s="470"/>
      <c r="X45" s="470"/>
      <c r="Y45" s="470"/>
      <c r="Z45" s="470"/>
      <c r="AA45" s="470"/>
      <c r="AB45" s="470"/>
      <c r="AC45" s="470"/>
      <c r="AD45" s="470"/>
      <c r="AE45" s="470"/>
      <c r="AF45" s="470"/>
      <c r="AG45" s="470"/>
      <c r="AH45" s="470"/>
      <c r="AI45" s="470"/>
      <c r="AJ45" s="470"/>
      <c r="AK45" s="470"/>
      <c r="AL45" s="470"/>
      <c r="AM45" s="470"/>
      <c r="AN45" s="470"/>
      <c r="AO45" s="470"/>
      <c r="AP45" s="470"/>
      <c r="AQ45" s="470"/>
      <c r="AR45" s="470"/>
      <c r="AS45" s="470"/>
    </row>
    <row r="47" spans="1:45">
      <c r="A47" s="468" t="s">
        <v>102</v>
      </c>
      <c r="B47" s="468"/>
      <c r="C47" s="468"/>
      <c r="D47" s="468"/>
      <c r="E47" s="468"/>
      <c r="F47" s="468"/>
      <c r="G47" s="468"/>
      <c r="H47" s="468"/>
      <c r="I47" s="468"/>
      <c r="J47" s="468"/>
      <c r="K47" s="468"/>
      <c r="L47" s="468"/>
      <c r="M47" s="468"/>
      <c r="N47" s="468"/>
      <c r="O47" s="468"/>
      <c r="P47" s="468"/>
      <c r="Q47" s="468"/>
      <c r="R47" s="468"/>
      <c r="S47" s="468"/>
      <c r="T47" s="468"/>
      <c r="U47" s="468"/>
      <c r="V47" s="468"/>
      <c r="W47" s="468"/>
      <c r="X47" s="468"/>
      <c r="Y47" s="468"/>
      <c r="Z47" s="468"/>
      <c r="AA47" s="468"/>
      <c r="AB47" s="468"/>
      <c r="AC47" s="468"/>
      <c r="AD47" s="468"/>
      <c r="AE47" s="468"/>
      <c r="AF47" s="468"/>
      <c r="AG47" s="468"/>
      <c r="AH47" s="468"/>
      <c r="AI47" s="468"/>
      <c r="AJ47" s="468"/>
      <c r="AK47" s="468"/>
      <c r="AL47" s="468"/>
      <c r="AM47" s="468"/>
      <c r="AN47" s="468"/>
      <c r="AO47" s="468"/>
      <c r="AP47" s="468"/>
      <c r="AQ47" s="468"/>
      <c r="AR47" s="468"/>
      <c r="AS47" s="468"/>
    </row>
    <row r="49" spans="1:45">
      <c r="A49" s="94" t="s">
        <v>103</v>
      </c>
    </row>
    <row r="50" spans="1:45">
      <c r="C50" s="90" t="str">
        <f>CONCATENATE('Расчет лесов'!C3," (",AW11,") за каждые сутки аренды.")</f>
        <v>210 (Двести десять рублей 00 копеек) за каждые сутки аренды.</v>
      </c>
    </row>
    <row r="51" spans="1:45">
      <c r="A51" s="450" t="s">
        <v>261</v>
      </c>
      <c r="B51" s="450"/>
      <c r="C51" s="450"/>
      <c r="D51" s="450"/>
      <c r="E51" s="450"/>
      <c r="F51" s="450"/>
      <c r="G51" s="450"/>
      <c r="H51" s="450"/>
      <c r="I51" s="450"/>
      <c r="J51" s="450"/>
      <c r="K51" s="450"/>
      <c r="L51" s="450"/>
      <c r="M51" s="450"/>
      <c r="N51" s="450"/>
      <c r="O51" s="450"/>
      <c r="P51" s="450"/>
      <c r="Q51" s="450"/>
      <c r="R51" s="450"/>
      <c r="S51" s="450"/>
      <c r="T51" s="450"/>
      <c r="U51" s="450"/>
      <c r="V51" s="450"/>
      <c r="W51" s="450"/>
      <c r="X51" s="450"/>
      <c r="Y51" s="450"/>
      <c r="Z51" s="450"/>
      <c r="AA51" s="450"/>
      <c r="AB51" s="450"/>
      <c r="AC51" s="450"/>
      <c r="AD51" s="450"/>
      <c r="AE51" s="450"/>
      <c r="AF51" s="450"/>
      <c r="AG51" s="450"/>
      <c r="AH51" s="450"/>
      <c r="AI51" s="450"/>
      <c r="AJ51" s="450"/>
      <c r="AK51" s="450"/>
      <c r="AL51" s="450"/>
      <c r="AM51" s="450"/>
      <c r="AN51" s="450"/>
      <c r="AO51" s="450"/>
      <c r="AP51" s="450"/>
      <c r="AQ51" s="450"/>
      <c r="AR51" s="450"/>
      <c r="AS51" s="450"/>
    </row>
    <row r="52" spans="1:45">
      <c r="A52" s="450"/>
      <c r="B52" s="450"/>
      <c r="C52" s="450"/>
      <c r="D52" s="450"/>
      <c r="E52" s="450"/>
      <c r="F52" s="450"/>
      <c r="G52" s="450"/>
      <c r="H52" s="450"/>
      <c r="I52" s="450"/>
      <c r="J52" s="450"/>
      <c r="K52" s="450"/>
      <c r="L52" s="450"/>
      <c r="M52" s="450"/>
      <c r="N52" s="450"/>
      <c r="O52" s="450"/>
      <c r="P52" s="450"/>
      <c r="Q52" s="450"/>
      <c r="R52" s="450"/>
      <c r="S52" s="450"/>
      <c r="T52" s="450"/>
      <c r="U52" s="450"/>
      <c r="V52" s="450"/>
      <c r="W52" s="450"/>
      <c r="X52" s="450"/>
      <c r="Y52" s="450"/>
      <c r="Z52" s="450"/>
      <c r="AA52" s="450"/>
      <c r="AB52" s="450"/>
      <c r="AC52" s="450"/>
      <c r="AD52" s="450"/>
      <c r="AE52" s="450"/>
      <c r="AF52" s="450"/>
      <c r="AG52" s="450"/>
      <c r="AH52" s="450"/>
      <c r="AI52" s="450"/>
      <c r="AJ52" s="450"/>
      <c r="AK52" s="450"/>
      <c r="AL52" s="450"/>
      <c r="AM52" s="450"/>
      <c r="AN52" s="450"/>
      <c r="AO52" s="450"/>
      <c r="AP52" s="450"/>
      <c r="AQ52" s="450"/>
      <c r="AR52" s="450"/>
      <c r="AS52" s="450"/>
    </row>
    <row r="53" spans="1:45">
      <c r="A53" s="450"/>
      <c r="B53" s="450"/>
      <c r="C53" s="450"/>
      <c r="D53" s="450"/>
      <c r="E53" s="450"/>
      <c r="F53" s="450"/>
      <c r="G53" s="450"/>
      <c r="H53" s="450"/>
      <c r="I53" s="450"/>
      <c r="J53" s="450"/>
      <c r="K53" s="450"/>
      <c r="L53" s="450"/>
      <c r="M53" s="450"/>
      <c r="N53" s="450"/>
      <c r="O53" s="450"/>
      <c r="P53" s="450"/>
      <c r="Q53" s="450"/>
      <c r="R53" s="450"/>
      <c r="S53" s="450"/>
      <c r="T53" s="450"/>
      <c r="U53" s="450"/>
      <c r="V53" s="450"/>
      <c r="W53" s="450"/>
      <c r="X53" s="450"/>
      <c r="Y53" s="450"/>
      <c r="Z53" s="450"/>
      <c r="AA53" s="450"/>
      <c r="AB53" s="450"/>
      <c r="AC53" s="450"/>
      <c r="AD53" s="450"/>
      <c r="AE53" s="450"/>
      <c r="AF53" s="450"/>
      <c r="AG53" s="450"/>
      <c r="AH53" s="450"/>
      <c r="AI53" s="450"/>
      <c r="AJ53" s="450"/>
      <c r="AK53" s="450"/>
      <c r="AL53" s="450"/>
      <c r="AM53" s="450"/>
      <c r="AN53" s="450"/>
      <c r="AO53" s="450"/>
      <c r="AP53" s="450"/>
      <c r="AQ53" s="450"/>
      <c r="AR53" s="450"/>
      <c r="AS53" s="450"/>
    </row>
    <row r="54" spans="1:45">
      <c r="A54" s="450"/>
      <c r="B54" s="450"/>
      <c r="C54" s="450"/>
      <c r="D54" s="450"/>
      <c r="E54" s="450"/>
      <c r="F54" s="450"/>
      <c r="G54" s="450"/>
      <c r="H54" s="450"/>
      <c r="I54" s="450"/>
      <c r="J54" s="450"/>
      <c r="K54" s="450"/>
      <c r="L54" s="450"/>
      <c r="M54" s="450"/>
      <c r="N54" s="450"/>
      <c r="O54" s="450"/>
      <c r="P54" s="450"/>
      <c r="Q54" s="450"/>
      <c r="R54" s="450"/>
      <c r="S54" s="450"/>
      <c r="T54" s="450"/>
      <c r="U54" s="450"/>
      <c r="V54" s="450"/>
      <c r="W54" s="450"/>
      <c r="X54" s="450"/>
      <c r="Y54" s="450"/>
      <c r="Z54" s="450"/>
      <c r="AA54" s="450"/>
      <c r="AB54" s="450"/>
      <c r="AC54" s="450"/>
      <c r="AD54" s="450"/>
      <c r="AE54" s="450"/>
      <c r="AF54" s="450"/>
      <c r="AG54" s="450"/>
      <c r="AH54" s="450"/>
      <c r="AI54" s="450"/>
      <c r="AJ54" s="450"/>
      <c r="AK54" s="450"/>
      <c r="AL54" s="450"/>
      <c r="AM54" s="450"/>
      <c r="AN54" s="450"/>
      <c r="AO54" s="450"/>
      <c r="AP54" s="450"/>
      <c r="AQ54" s="450"/>
      <c r="AR54" s="450"/>
      <c r="AS54" s="450"/>
    </row>
    <row r="55" spans="1:45">
      <c r="A55" s="450"/>
      <c r="B55" s="450"/>
      <c r="C55" s="450"/>
      <c r="D55" s="450"/>
      <c r="E55" s="450"/>
      <c r="F55" s="450"/>
      <c r="G55" s="450"/>
      <c r="H55" s="450"/>
      <c r="I55" s="450"/>
      <c r="J55" s="450"/>
      <c r="K55" s="450"/>
      <c r="L55" s="450"/>
      <c r="M55" s="450"/>
      <c r="N55" s="450"/>
      <c r="O55" s="450"/>
      <c r="P55" s="450"/>
      <c r="Q55" s="450"/>
      <c r="R55" s="450"/>
      <c r="S55" s="450"/>
      <c r="T55" s="450"/>
      <c r="U55" s="450"/>
      <c r="V55" s="450"/>
      <c r="W55" s="450"/>
      <c r="X55" s="450"/>
      <c r="Y55" s="450"/>
      <c r="Z55" s="450"/>
      <c r="AA55" s="450"/>
      <c r="AB55" s="450"/>
      <c r="AC55" s="450"/>
      <c r="AD55" s="450"/>
      <c r="AE55" s="450"/>
      <c r="AF55" s="450"/>
      <c r="AG55" s="450"/>
      <c r="AH55" s="450"/>
      <c r="AI55" s="450"/>
      <c r="AJ55" s="450"/>
      <c r="AK55" s="450"/>
      <c r="AL55" s="450"/>
      <c r="AM55" s="450"/>
      <c r="AN55" s="450"/>
      <c r="AO55" s="450"/>
      <c r="AP55" s="450"/>
      <c r="AQ55" s="450"/>
      <c r="AR55" s="450"/>
      <c r="AS55" s="450"/>
    </row>
    <row r="57" spans="1:45">
      <c r="A57" s="468" t="s">
        <v>105</v>
      </c>
      <c r="B57" s="468"/>
      <c r="C57" s="468"/>
      <c r="D57" s="468"/>
      <c r="E57" s="468"/>
      <c r="F57" s="468"/>
      <c r="G57" s="468"/>
      <c r="H57" s="468"/>
      <c r="I57" s="468"/>
      <c r="J57" s="468"/>
      <c r="K57" s="468"/>
      <c r="L57" s="468"/>
      <c r="M57" s="468"/>
      <c r="N57" s="468"/>
      <c r="O57" s="468"/>
      <c r="P57" s="468"/>
      <c r="Q57" s="468"/>
      <c r="R57" s="468"/>
      <c r="S57" s="468"/>
      <c r="T57" s="468"/>
      <c r="U57" s="468"/>
      <c r="V57" s="468"/>
      <c r="W57" s="468"/>
      <c r="X57" s="468"/>
      <c r="Y57" s="468"/>
      <c r="Z57" s="468"/>
      <c r="AA57" s="468"/>
      <c r="AB57" s="468"/>
      <c r="AC57" s="468"/>
      <c r="AD57" s="468"/>
      <c r="AE57" s="468"/>
      <c r="AF57" s="468"/>
      <c r="AG57" s="468"/>
      <c r="AH57" s="468"/>
      <c r="AI57" s="468"/>
      <c r="AJ57" s="468"/>
      <c r="AK57" s="468"/>
      <c r="AL57" s="468"/>
      <c r="AM57" s="468"/>
      <c r="AN57" s="468"/>
      <c r="AO57" s="468"/>
      <c r="AP57" s="468"/>
      <c r="AQ57" s="468"/>
      <c r="AR57" s="468"/>
      <c r="AS57" s="468"/>
    </row>
    <row r="59" spans="1:45">
      <c r="A59" s="451" t="s">
        <v>211</v>
      </c>
      <c r="B59" s="451"/>
      <c r="C59" s="451"/>
      <c r="D59" s="451"/>
      <c r="E59" s="451"/>
      <c r="F59" s="451"/>
      <c r="G59" s="451"/>
      <c r="H59" s="451"/>
      <c r="I59" s="451"/>
      <c r="J59" s="451"/>
      <c r="K59" s="451"/>
      <c r="L59" s="451"/>
      <c r="M59" s="451"/>
      <c r="N59" s="451"/>
      <c r="O59" s="451"/>
      <c r="P59" s="451"/>
      <c r="Q59" s="451"/>
      <c r="R59" s="451"/>
      <c r="S59" s="451"/>
      <c r="T59" s="451"/>
      <c r="U59" s="451"/>
      <c r="V59" s="451"/>
      <c r="W59" s="451"/>
      <c r="X59" s="451"/>
      <c r="Y59" s="451"/>
      <c r="Z59" s="451"/>
      <c r="AA59" s="451"/>
      <c r="AB59" s="451"/>
      <c r="AC59" s="451"/>
      <c r="AD59" s="451"/>
      <c r="AE59" s="451"/>
      <c r="AF59" s="451"/>
      <c r="AG59" s="451"/>
      <c r="AH59" s="451"/>
      <c r="AI59" s="451"/>
      <c r="AJ59" s="451"/>
      <c r="AK59" s="451"/>
      <c r="AL59" s="451"/>
      <c r="AM59" s="451"/>
      <c r="AN59" s="451"/>
      <c r="AO59" s="451"/>
      <c r="AP59" s="451"/>
      <c r="AQ59" s="451"/>
      <c r="AR59" s="451"/>
      <c r="AS59" s="451"/>
    </row>
    <row r="60" spans="1:45">
      <c r="A60" s="451"/>
      <c r="B60" s="451"/>
      <c r="C60" s="451"/>
      <c r="D60" s="451"/>
      <c r="E60" s="451"/>
      <c r="F60" s="451"/>
      <c r="G60" s="451"/>
      <c r="H60" s="451"/>
      <c r="I60" s="451"/>
      <c r="J60" s="451"/>
      <c r="K60" s="451"/>
      <c r="L60" s="451"/>
      <c r="M60" s="451"/>
      <c r="N60" s="451"/>
      <c r="O60" s="451"/>
      <c r="P60" s="451"/>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row>
    <row r="61" spans="1:45">
      <c r="A61" s="451"/>
      <c r="B61" s="451"/>
      <c r="C61" s="451"/>
      <c r="D61" s="451"/>
      <c r="E61" s="451"/>
      <c r="F61" s="451"/>
      <c r="G61" s="451"/>
      <c r="H61" s="451"/>
      <c r="I61" s="451"/>
      <c r="J61" s="451"/>
      <c r="K61" s="451"/>
      <c r="L61" s="451"/>
      <c r="M61" s="451"/>
      <c r="N61" s="451"/>
      <c r="O61" s="451"/>
      <c r="P61" s="451"/>
      <c r="Q61" s="451"/>
      <c r="R61" s="451"/>
      <c r="S61" s="451"/>
      <c r="T61" s="451"/>
      <c r="U61" s="451"/>
      <c r="V61" s="451"/>
      <c r="W61" s="451"/>
      <c r="X61" s="451"/>
      <c r="Y61" s="451"/>
      <c r="Z61" s="451"/>
      <c r="AA61" s="451"/>
      <c r="AB61" s="451"/>
      <c r="AC61" s="451"/>
      <c r="AD61" s="451"/>
      <c r="AE61" s="451"/>
      <c r="AF61" s="451"/>
      <c r="AG61" s="451"/>
      <c r="AH61" s="451"/>
      <c r="AI61" s="451"/>
      <c r="AJ61" s="451"/>
      <c r="AK61" s="451"/>
      <c r="AL61" s="451"/>
      <c r="AM61" s="451"/>
      <c r="AN61" s="451"/>
      <c r="AO61" s="451"/>
      <c r="AP61" s="451"/>
      <c r="AQ61" s="451"/>
      <c r="AR61" s="451"/>
      <c r="AS61" s="451"/>
    </row>
    <row r="62" spans="1:45">
      <c r="A62" s="451"/>
      <c r="B62" s="451"/>
      <c r="C62" s="451"/>
      <c r="D62" s="451"/>
      <c r="E62" s="451"/>
      <c r="F62" s="451"/>
      <c r="G62" s="451"/>
      <c r="H62" s="451"/>
      <c r="I62" s="451"/>
      <c r="J62" s="451"/>
      <c r="K62" s="451"/>
      <c r="L62" s="451"/>
      <c r="M62" s="451"/>
      <c r="N62" s="451"/>
      <c r="O62" s="451"/>
      <c r="P62" s="451"/>
      <c r="Q62" s="451"/>
      <c r="R62" s="451"/>
      <c r="S62" s="451"/>
      <c r="T62" s="451"/>
      <c r="U62" s="451"/>
      <c r="V62" s="451"/>
      <c r="W62" s="451"/>
      <c r="X62" s="451"/>
      <c r="Y62" s="451"/>
      <c r="Z62" s="451"/>
      <c r="AA62" s="451"/>
      <c r="AB62" s="451"/>
      <c r="AC62" s="451"/>
      <c r="AD62" s="451"/>
      <c r="AE62" s="451"/>
      <c r="AF62" s="451"/>
      <c r="AG62" s="451"/>
      <c r="AH62" s="451"/>
      <c r="AI62" s="451"/>
      <c r="AJ62" s="451"/>
      <c r="AK62" s="451"/>
      <c r="AL62" s="451"/>
      <c r="AM62" s="451"/>
      <c r="AN62" s="451"/>
      <c r="AO62" s="451"/>
      <c r="AP62" s="451"/>
      <c r="AQ62" s="451"/>
      <c r="AR62" s="451"/>
      <c r="AS62" s="451"/>
    </row>
    <row r="63" spans="1:45">
      <c r="A63" s="451"/>
      <c r="B63" s="451"/>
      <c r="C63" s="451"/>
      <c r="D63" s="451"/>
      <c r="E63" s="451"/>
      <c r="F63" s="451"/>
      <c r="G63" s="451"/>
      <c r="H63" s="451"/>
      <c r="I63" s="451"/>
      <c r="J63" s="451"/>
      <c r="K63" s="451"/>
      <c r="L63" s="451"/>
      <c r="M63" s="451"/>
      <c r="N63" s="451"/>
      <c r="O63" s="451"/>
      <c r="P63" s="451"/>
      <c r="Q63" s="451"/>
      <c r="R63" s="451"/>
      <c r="S63" s="451"/>
      <c r="T63" s="451"/>
      <c r="U63" s="451"/>
      <c r="V63" s="451"/>
      <c r="W63" s="451"/>
      <c r="X63" s="451"/>
      <c r="Y63" s="451"/>
      <c r="Z63" s="451"/>
      <c r="AA63" s="451"/>
      <c r="AB63" s="451"/>
      <c r="AC63" s="451"/>
      <c r="AD63" s="451"/>
      <c r="AE63" s="451"/>
      <c r="AF63" s="451"/>
      <c r="AG63" s="451"/>
      <c r="AH63" s="451"/>
      <c r="AI63" s="451"/>
      <c r="AJ63" s="451"/>
      <c r="AK63" s="451"/>
      <c r="AL63" s="451"/>
      <c r="AM63" s="451"/>
      <c r="AN63" s="451"/>
      <c r="AO63" s="451"/>
      <c r="AP63" s="451"/>
      <c r="AQ63" s="451"/>
      <c r="AR63" s="451"/>
      <c r="AS63" s="451"/>
    </row>
    <row r="64" spans="1:45">
      <c r="A64" s="451"/>
      <c r="B64" s="451"/>
      <c r="C64" s="451"/>
      <c r="D64" s="451"/>
      <c r="E64" s="451"/>
      <c r="F64" s="451"/>
      <c r="G64" s="451"/>
      <c r="H64" s="451"/>
      <c r="I64" s="451"/>
      <c r="J64" s="451"/>
      <c r="K64" s="451"/>
      <c r="L64" s="451"/>
      <c r="M64" s="451"/>
      <c r="N64" s="451"/>
      <c r="O64" s="451"/>
      <c r="P64" s="451"/>
      <c r="Q64" s="451"/>
      <c r="R64" s="451"/>
      <c r="S64" s="451"/>
      <c r="T64" s="451"/>
      <c r="U64" s="451"/>
      <c r="V64" s="451"/>
      <c r="W64" s="451"/>
      <c r="X64" s="451"/>
      <c r="Y64" s="451"/>
      <c r="Z64" s="451"/>
      <c r="AA64" s="451"/>
      <c r="AB64" s="451"/>
      <c r="AC64" s="451"/>
      <c r="AD64" s="451"/>
      <c r="AE64" s="451"/>
      <c r="AF64" s="451"/>
      <c r="AG64" s="451"/>
      <c r="AH64" s="451"/>
      <c r="AI64" s="451"/>
      <c r="AJ64" s="451"/>
      <c r="AK64" s="451"/>
      <c r="AL64" s="451"/>
      <c r="AM64" s="451"/>
      <c r="AN64" s="451"/>
      <c r="AO64" s="451"/>
      <c r="AP64" s="451"/>
      <c r="AQ64" s="451"/>
      <c r="AR64" s="451"/>
      <c r="AS64" s="451"/>
    </row>
    <row r="65" spans="1:45">
      <c r="A65" s="451"/>
      <c r="B65" s="451"/>
      <c r="C65" s="451"/>
      <c r="D65" s="451"/>
      <c r="E65" s="451"/>
      <c r="F65" s="451"/>
      <c r="G65" s="451"/>
      <c r="H65" s="451"/>
      <c r="I65" s="451"/>
      <c r="J65" s="451"/>
      <c r="K65" s="451"/>
      <c r="L65" s="451"/>
      <c r="M65" s="451"/>
      <c r="N65" s="451"/>
      <c r="O65" s="451"/>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c r="AO65" s="451"/>
      <c r="AP65" s="451"/>
      <c r="AQ65" s="451"/>
      <c r="AR65" s="451"/>
      <c r="AS65" s="451"/>
    </row>
    <row r="66" spans="1:45">
      <c r="A66" s="451"/>
      <c r="B66" s="451"/>
      <c r="C66" s="451"/>
      <c r="D66" s="451"/>
      <c r="E66" s="451"/>
      <c r="F66" s="451"/>
      <c r="G66" s="451"/>
      <c r="H66" s="451"/>
      <c r="I66" s="451"/>
      <c r="J66" s="451"/>
      <c r="K66" s="451"/>
      <c r="L66" s="451"/>
      <c r="M66" s="451"/>
      <c r="N66" s="451"/>
      <c r="O66" s="451"/>
      <c r="P66" s="451"/>
      <c r="Q66" s="451"/>
      <c r="R66" s="451"/>
      <c r="S66" s="451"/>
      <c r="T66" s="451"/>
      <c r="U66" s="451"/>
      <c r="V66" s="451"/>
      <c r="W66" s="451"/>
      <c r="X66" s="451"/>
      <c r="Y66" s="451"/>
      <c r="Z66" s="451"/>
      <c r="AA66" s="451"/>
      <c r="AB66" s="451"/>
      <c r="AC66" s="451"/>
      <c r="AD66" s="451"/>
      <c r="AE66" s="451"/>
      <c r="AF66" s="451"/>
      <c r="AG66" s="451"/>
      <c r="AH66" s="451"/>
      <c r="AI66" s="451"/>
      <c r="AJ66" s="451"/>
      <c r="AK66" s="451"/>
      <c r="AL66" s="451"/>
      <c r="AM66" s="451"/>
      <c r="AN66" s="451"/>
      <c r="AO66" s="451"/>
      <c r="AP66" s="451"/>
      <c r="AQ66" s="451"/>
      <c r="AR66" s="451"/>
      <c r="AS66" s="451"/>
    </row>
    <row r="67" spans="1:45">
      <c r="A67" s="451"/>
      <c r="B67" s="451"/>
      <c r="C67" s="451"/>
      <c r="D67" s="451"/>
      <c r="E67" s="451"/>
      <c r="F67" s="451"/>
      <c r="G67" s="451"/>
      <c r="H67" s="451"/>
      <c r="I67" s="451"/>
      <c r="J67" s="451"/>
      <c r="K67" s="451"/>
      <c r="L67" s="451"/>
      <c r="M67" s="451"/>
      <c r="N67" s="451"/>
      <c r="O67" s="451"/>
      <c r="P67" s="45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1"/>
      <c r="AN67" s="451"/>
      <c r="AO67" s="451"/>
      <c r="AP67" s="451"/>
      <c r="AQ67" s="451"/>
      <c r="AR67" s="451"/>
      <c r="AS67" s="451"/>
    </row>
    <row r="68" spans="1:45">
      <c r="A68" s="451"/>
      <c r="B68" s="451"/>
      <c r="C68" s="451"/>
      <c r="D68" s="451"/>
      <c r="E68" s="451"/>
      <c r="F68" s="451"/>
      <c r="G68" s="451"/>
      <c r="H68" s="451"/>
      <c r="I68" s="451"/>
      <c r="J68" s="451"/>
      <c r="K68" s="451"/>
      <c r="L68" s="451"/>
      <c r="M68" s="451"/>
      <c r="N68" s="451"/>
      <c r="O68" s="451"/>
      <c r="P68" s="451"/>
      <c r="Q68" s="451"/>
      <c r="R68" s="451"/>
      <c r="S68" s="451"/>
      <c r="T68" s="451"/>
      <c r="U68" s="451"/>
      <c r="V68" s="451"/>
      <c r="W68" s="451"/>
      <c r="X68" s="451"/>
      <c r="Y68" s="451"/>
      <c r="Z68" s="451"/>
      <c r="AA68" s="451"/>
      <c r="AB68" s="451"/>
      <c r="AC68" s="451"/>
      <c r="AD68" s="451"/>
      <c r="AE68" s="451"/>
      <c r="AF68" s="451"/>
      <c r="AG68" s="451"/>
      <c r="AH68" s="451"/>
      <c r="AI68" s="451"/>
      <c r="AJ68" s="451"/>
      <c r="AK68" s="451"/>
      <c r="AL68" s="451"/>
      <c r="AM68" s="451"/>
      <c r="AN68" s="451"/>
      <c r="AO68" s="451"/>
      <c r="AP68" s="451"/>
      <c r="AQ68" s="451"/>
      <c r="AR68" s="451"/>
      <c r="AS68" s="451"/>
    </row>
    <row r="69" spans="1:45">
      <c r="A69" s="451"/>
      <c r="B69" s="451"/>
      <c r="C69" s="451"/>
      <c r="D69" s="451"/>
      <c r="E69" s="451"/>
      <c r="F69" s="451"/>
      <c r="G69" s="451"/>
      <c r="H69" s="451"/>
      <c r="I69" s="451"/>
      <c r="J69" s="451"/>
      <c r="K69" s="451"/>
      <c r="L69" s="451"/>
      <c r="M69" s="451"/>
      <c r="N69" s="451"/>
      <c r="O69" s="451"/>
      <c r="P69" s="451"/>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1"/>
      <c r="AN69" s="451"/>
      <c r="AO69" s="451"/>
      <c r="AP69" s="451"/>
      <c r="AQ69" s="451"/>
      <c r="AR69" s="451"/>
      <c r="AS69" s="451"/>
    </row>
    <row r="70" spans="1:45">
      <c r="A70" s="451"/>
      <c r="B70" s="451"/>
      <c r="C70" s="451"/>
      <c r="D70" s="451"/>
      <c r="E70" s="451"/>
      <c r="F70" s="451"/>
      <c r="G70" s="451"/>
      <c r="H70" s="451"/>
      <c r="I70" s="451"/>
      <c r="J70" s="451"/>
      <c r="K70" s="451"/>
      <c r="L70" s="451"/>
      <c r="M70" s="451"/>
      <c r="N70" s="451"/>
      <c r="O70" s="451"/>
      <c r="P70" s="451"/>
      <c r="Q70" s="451"/>
      <c r="R70" s="451"/>
      <c r="S70" s="451"/>
      <c r="T70" s="451"/>
      <c r="U70" s="451"/>
      <c r="V70" s="451"/>
      <c r="W70" s="451"/>
      <c r="X70" s="451"/>
      <c r="Y70" s="451"/>
      <c r="Z70" s="451"/>
      <c r="AA70" s="451"/>
      <c r="AB70" s="451"/>
      <c r="AC70" s="451"/>
      <c r="AD70" s="451"/>
      <c r="AE70" s="451"/>
      <c r="AF70" s="451"/>
      <c r="AG70" s="451"/>
      <c r="AH70" s="451"/>
      <c r="AI70" s="451"/>
      <c r="AJ70" s="451"/>
      <c r="AK70" s="451"/>
      <c r="AL70" s="451"/>
      <c r="AM70" s="451"/>
      <c r="AN70" s="451"/>
      <c r="AO70" s="451"/>
      <c r="AP70" s="451"/>
      <c r="AQ70" s="451"/>
      <c r="AR70" s="451"/>
      <c r="AS70" s="451"/>
    </row>
    <row r="71" spans="1:45">
      <c r="A71" s="451"/>
      <c r="B71" s="451"/>
      <c r="C71" s="451"/>
      <c r="D71" s="451"/>
      <c r="E71" s="451"/>
      <c r="F71" s="451"/>
      <c r="G71" s="451"/>
      <c r="H71" s="451"/>
      <c r="I71" s="451"/>
      <c r="J71" s="451"/>
      <c r="K71" s="451"/>
      <c r="L71" s="451"/>
      <c r="M71" s="451"/>
      <c r="N71" s="451"/>
      <c r="O71" s="451"/>
      <c r="P71" s="451"/>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1"/>
      <c r="AN71" s="451"/>
      <c r="AO71" s="451"/>
      <c r="AP71" s="451"/>
      <c r="AQ71" s="451"/>
      <c r="AR71" s="451"/>
      <c r="AS71" s="451"/>
    </row>
    <row r="72" spans="1:45">
      <c r="A72" s="451"/>
      <c r="B72" s="451"/>
      <c r="C72" s="451"/>
      <c r="D72" s="451"/>
      <c r="E72" s="451"/>
      <c r="F72" s="451"/>
      <c r="G72" s="451"/>
      <c r="H72" s="451"/>
      <c r="I72" s="451"/>
      <c r="J72" s="451"/>
      <c r="K72" s="451"/>
      <c r="L72" s="451"/>
      <c r="M72" s="451"/>
      <c r="N72" s="451"/>
      <c r="O72" s="451"/>
      <c r="P72" s="451"/>
      <c r="Q72" s="451"/>
      <c r="R72" s="451"/>
      <c r="S72" s="451"/>
      <c r="T72" s="451"/>
      <c r="U72" s="451"/>
      <c r="V72" s="451"/>
      <c r="W72" s="451"/>
      <c r="X72" s="451"/>
      <c r="Y72" s="451"/>
      <c r="Z72" s="451"/>
      <c r="AA72" s="451"/>
      <c r="AB72" s="451"/>
      <c r="AC72" s="451"/>
      <c r="AD72" s="451"/>
      <c r="AE72" s="451"/>
      <c r="AF72" s="451"/>
      <c r="AG72" s="451"/>
      <c r="AH72" s="451"/>
      <c r="AI72" s="451"/>
      <c r="AJ72" s="451"/>
      <c r="AK72" s="451"/>
      <c r="AL72" s="451"/>
      <c r="AM72" s="451"/>
      <c r="AN72" s="451"/>
      <c r="AO72" s="451"/>
      <c r="AP72" s="451"/>
      <c r="AQ72" s="451"/>
      <c r="AR72" s="451"/>
      <c r="AS72" s="451"/>
    </row>
    <row r="73" spans="1:45">
      <c r="A73" s="451"/>
      <c r="B73" s="451"/>
      <c r="C73" s="451"/>
      <c r="D73" s="451"/>
      <c r="E73" s="451"/>
      <c r="F73" s="451"/>
      <c r="G73" s="451"/>
      <c r="H73" s="451"/>
      <c r="I73" s="451"/>
      <c r="J73" s="451"/>
      <c r="K73" s="451"/>
      <c r="L73" s="451"/>
      <c r="M73" s="451"/>
      <c r="N73" s="451"/>
      <c r="O73" s="451"/>
      <c r="P73" s="451"/>
      <c r="Q73" s="451"/>
      <c r="R73" s="451"/>
      <c r="S73" s="451"/>
      <c r="T73" s="451"/>
      <c r="U73" s="451"/>
      <c r="V73" s="451"/>
      <c r="W73" s="451"/>
      <c r="X73" s="451"/>
      <c r="Y73" s="451"/>
      <c r="Z73" s="451"/>
      <c r="AA73" s="451"/>
      <c r="AB73" s="451"/>
      <c r="AC73" s="451"/>
      <c r="AD73" s="451"/>
      <c r="AE73" s="451"/>
      <c r="AF73" s="451"/>
      <c r="AG73" s="451"/>
      <c r="AH73" s="451"/>
      <c r="AI73" s="451"/>
      <c r="AJ73" s="451"/>
      <c r="AK73" s="451"/>
      <c r="AL73" s="451"/>
      <c r="AM73" s="451"/>
      <c r="AN73" s="451"/>
      <c r="AO73" s="451"/>
      <c r="AP73" s="451"/>
      <c r="AQ73" s="451"/>
      <c r="AR73" s="451"/>
      <c r="AS73" s="451"/>
    </row>
    <row r="74" spans="1:45">
      <c r="A74" s="451"/>
      <c r="B74" s="451"/>
      <c r="C74" s="451"/>
      <c r="D74" s="451"/>
      <c r="E74" s="451"/>
      <c r="F74" s="451"/>
      <c r="G74" s="451"/>
      <c r="H74" s="451"/>
      <c r="I74" s="451"/>
      <c r="J74" s="451"/>
      <c r="K74" s="451"/>
      <c r="L74" s="451"/>
      <c r="M74" s="451"/>
      <c r="N74" s="451"/>
      <c r="O74" s="451"/>
      <c r="P74" s="451"/>
      <c r="Q74" s="451"/>
      <c r="R74" s="451"/>
      <c r="S74" s="451"/>
      <c r="T74" s="451"/>
      <c r="U74" s="451"/>
      <c r="V74" s="451"/>
      <c r="W74" s="451"/>
      <c r="X74" s="451"/>
      <c r="Y74" s="451"/>
      <c r="Z74" s="451"/>
      <c r="AA74" s="451"/>
      <c r="AB74" s="451"/>
      <c r="AC74" s="451"/>
      <c r="AD74" s="451"/>
      <c r="AE74" s="451"/>
      <c r="AF74" s="451"/>
      <c r="AG74" s="451"/>
      <c r="AH74" s="451"/>
      <c r="AI74" s="451"/>
      <c r="AJ74" s="451"/>
      <c r="AK74" s="451"/>
      <c r="AL74" s="451"/>
      <c r="AM74" s="451"/>
      <c r="AN74" s="451"/>
      <c r="AO74" s="451"/>
      <c r="AP74" s="451"/>
      <c r="AQ74" s="451"/>
      <c r="AR74" s="451"/>
      <c r="AS74" s="451"/>
    </row>
    <row r="75" spans="1:45">
      <c r="A75" s="451"/>
      <c r="B75" s="451"/>
      <c r="C75" s="451"/>
      <c r="D75" s="451"/>
      <c r="E75" s="451"/>
      <c r="F75" s="451"/>
      <c r="G75" s="451"/>
      <c r="H75" s="451"/>
      <c r="I75" s="451"/>
      <c r="J75" s="451"/>
      <c r="K75" s="451"/>
      <c r="L75" s="451"/>
      <c r="M75" s="451"/>
      <c r="N75" s="451"/>
      <c r="O75" s="451"/>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1"/>
      <c r="AN75" s="451"/>
      <c r="AO75" s="451"/>
      <c r="AP75" s="451"/>
      <c r="AQ75" s="451"/>
      <c r="AR75" s="451"/>
      <c r="AS75" s="451"/>
    </row>
    <row r="76" spans="1:45">
      <c r="A76" s="451"/>
      <c r="B76" s="451"/>
      <c r="C76" s="451"/>
      <c r="D76" s="451"/>
      <c r="E76" s="451"/>
      <c r="F76" s="451"/>
      <c r="G76" s="451"/>
      <c r="H76" s="451"/>
      <c r="I76" s="451"/>
      <c r="J76" s="451"/>
      <c r="K76" s="451"/>
      <c r="L76" s="451"/>
      <c r="M76" s="451"/>
      <c r="N76" s="451"/>
      <c r="O76" s="451"/>
      <c r="P76" s="451"/>
      <c r="Q76" s="451"/>
      <c r="R76" s="451"/>
      <c r="S76" s="451"/>
      <c r="T76" s="451"/>
      <c r="U76" s="451"/>
      <c r="V76" s="451"/>
      <c r="W76" s="451"/>
      <c r="X76" s="451"/>
      <c r="Y76" s="451"/>
      <c r="Z76" s="451"/>
      <c r="AA76" s="451"/>
      <c r="AB76" s="451"/>
      <c r="AC76" s="451"/>
      <c r="AD76" s="451"/>
      <c r="AE76" s="451"/>
      <c r="AF76" s="451"/>
      <c r="AG76" s="451"/>
      <c r="AH76" s="451"/>
      <c r="AI76" s="451"/>
      <c r="AJ76" s="451"/>
      <c r="AK76" s="451"/>
      <c r="AL76" s="451"/>
      <c r="AM76" s="451"/>
      <c r="AN76" s="451"/>
      <c r="AO76" s="451"/>
      <c r="AP76" s="451"/>
      <c r="AQ76" s="451"/>
      <c r="AR76" s="451"/>
      <c r="AS76" s="451"/>
    </row>
    <row r="77" spans="1:45">
      <c r="A77" s="451"/>
      <c r="B77" s="451"/>
      <c r="C77" s="451"/>
      <c r="D77" s="451"/>
      <c r="E77" s="451"/>
      <c r="F77" s="451"/>
      <c r="G77" s="451"/>
      <c r="H77" s="451"/>
      <c r="I77" s="451"/>
      <c r="J77" s="451"/>
      <c r="K77" s="451"/>
      <c r="L77" s="451"/>
      <c r="M77" s="451"/>
      <c r="N77" s="451"/>
      <c r="O77" s="451"/>
      <c r="P77" s="451"/>
      <c r="Q77" s="451"/>
      <c r="R77" s="451"/>
      <c r="S77" s="451"/>
      <c r="T77" s="451"/>
      <c r="U77" s="451"/>
      <c r="V77" s="451"/>
      <c r="W77" s="451"/>
      <c r="X77" s="451"/>
      <c r="Y77" s="451"/>
      <c r="Z77" s="451"/>
      <c r="AA77" s="451"/>
      <c r="AB77" s="451"/>
      <c r="AC77" s="451"/>
      <c r="AD77" s="451"/>
      <c r="AE77" s="451"/>
      <c r="AF77" s="451"/>
      <c r="AG77" s="451"/>
      <c r="AH77" s="451"/>
      <c r="AI77" s="451"/>
      <c r="AJ77" s="451"/>
      <c r="AK77" s="451"/>
      <c r="AL77" s="451"/>
      <c r="AM77" s="451"/>
      <c r="AN77" s="451"/>
      <c r="AO77" s="451"/>
      <c r="AP77" s="451"/>
      <c r="AQ77" s="451"/>
      <c r="AR77" s="451"/>
      <c r="AS77" s="451"/>
    </row>
    <row r="79" spans="1:45">
      <c r="A79" s="468" t="s">
        <v>106</v>
      </c>
      <c r="B79" s="468"/>
      <c r="C79" s="468"/>
      <c r="D79" s="468"/>
      <c r="E79" s="468"/>
      <c r="F79" s="468"/>
      <c r="G79" s="468"/>
      <c r="H79" s="468"/>
      <c r="I79" s="468"/>
      <c r="J79" s="468"/>
      <c r="K79" s="468"/>
      <c r="L79" s="468"/>
      <c r="M79" s="468"/>
      <c r="N79" s="468"/>
      <c r="O79" s="468"/>
      <c r="P79" s="468"/>
      <c r="Q79" s="468"/>
      <c r="R79" s="468"/>
      <c r="S79" s="468"/>
      <c r="T79" s="468"/>
      <c r="U79" s="468"/>
      <c r="V79" s="468"/>
      <c r="W79" s="468"/>
      <c r="X79" s="468"/>
      <c r="Y79" s="468"/>
      <c r="Z79" s="468"/>
      <c r="AA79" s="468"/>
      <c r="AB79" s="468"/>
      <c r="AC79" s="468"/>
      <c r="AD79" s="468"/>
      <c r="AE79" s="468"/>
      <c r="AF79" s="468"/>
      <c r="AG79" s="468"/>
      <c r="AH79" s="468"/>
      <c r="AI79" s="468"/>
      <c r="AJ79" s="468"/>
      <c r="AK79" s="468"/>
      <c r="AL79" s="468"/>
      <c r="AM79" s="468"/>
      <c r="AN79" s="468"/>
      <c r="AO79" s="468"/>
      <c r="AP79" s="468"/>
      <c r="AQ79" s="468"/>
      <c r="AR79" s="468"/>
      <c r="AS79" s="468"/>
    </row>
    <row r="81" spans="1:45">
      <c r="A81" s="451" t="s">
        <v>213</v>
      </c>
      <c r="B81" s="451"/>
      <c r="C81" s="451"/>
      <c r="D81" s="451"/>
      <c r="E81" s="451"/>
      <c r="F81" s="451"/>
      <c r="G81" s="451"/>
      <c r="H81" s="451"/>
      <c r="I81" s="451"/>
      <c r="J81" s="451"/>
      <c r="K81" s="451"/>
      <c r="L81" s="451"/>
      <c r="M81" s="451"/>
      <c r="N81" s="451"/>
      <c r="O81" s="451"/>
      <c r="P81" s="45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1"/>
      <c r="AN81" s="451"/>
      <c r="AO81" s="451"/>
      <c r="AP81" s="451"/>
      <c r="AQ81" s="451"/>
      <c r="AR81" s="451"/>
      <c r="AS81" s="451"/>
    </row>
    <row r="82" spans="1:45">
      <c r="A82" s="451"/>
      <c r="B82" s="451"/>
      <c r="C82" s="451"/>
      <c r="D82" s="451"/>
      <c r="E82" s="451"/>
      <c r="F82" s="451"/>
      <c r="G82" s="451"/>
      <c r="H82" s="451"/>
      <c r="I82" s="451"/>
      <c r="J82" s="451"/>
      <c r="K82" s="451"/>
      <c r="L82" s="451"/>
      <c r="M82" s="451"/>
      <c r="N82" s="451"/>
      <c r="O82" s="451"/>
      <c r="P82" s="451"/>
      <c r="Q82" s="451"/>
      <c r="R82" s="451"/>
      <c r="S82" s="451"/>
      <c r="T82" s="451"/>
      <c r="U82" s="451"/>
      <c r="V82" s="451"/>
      <c r="W82" s="451"/>
      <c r="X82" s="451"/>
      <c r="Y82" s="451"/>
      <c r="Z82" s="451"/>
      <c r="AA82" s="451"/>
      <c r="AB82" s="451"/>
      <c r="AC82" s="451"/>
      <c r="AD82" s="451"/>
      <c r="AE82" s="451"/>
      <c r="AF82" s="451"/>
      <c r="AG82" s="451"/>
      <c r="AH82" s="451"/>
      <c r="AI82" s="451"/>
      <c r="AJ82" s="451"/>
      <c r="AK82" s="451"/>
      <c r="AL82" s="451"/>
      <c r="AM82" s="451"/>
      <c r="AN82" s="451"/>
      <c r="AO82" s="451"/>
      <c r="AP82" s="451"/>
      <c r="AQ82" s="451"/>
      <c r="AR82" s="451"/>
      <c r="AS82" s="451"/>
    </row>
    <row r="83" spans="1:45">
      <c r="A83" s="451"/>
      <c r="B83" s="451"/>
      <c r="C83" s="451"/>
      <c r="D83" s="451"/>
      <c r="E83" s="451"/>
      <c r="F83" s="451"/>
      <c r="G83" s="451"/>
      <c r="H83" s="451"/>
      <c r="I83" s="451"/>
      <c r="J83" s="451"/>
      <c r="K83" s="451"/>
      <c r="L83" s="451"/>
      <c r="M83" s="451"/>
      <c r="N83" s="451"/>
      <c r="O83" s="451"/>
      <c r="P83" s="451"/>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1"/>
      <c r="AN83" s="451"/>
      <c r="AO83" s="451"/>
      <c r="AP83" s="451"/>
      <c r="AQ83" s="451"/>
      <c r="AR83" s="451"/>
      <c r="AS83" s="451"/>
    </row>
    <row r="84" spans="1:45">
      <c r="A84" s="451"/>
      <c r="B84" s="451"/>
      <c r="C84" s="451"/>
      <c r="D84" s="451"/>
      <c r="E84" s="451"/>
      <c r="F84" s="451"/>
      <c r="G84" s="451"/>
      <c r="H84" s="451"/>
      <c r="I84" s="451"/>
      <c r="J84" s="451"/>
      <c r="K84" s="451"/>
      <c r="L84" s="451"/>
      <c r="M84" s="451"/>
      <c r="N84" s="451"/>
      <c r="O84" s="451"/>
      <c r="P84" s="451"/>
      <c r="Q84" s="451"/>
      <c r="R84" s="451"/>
      <c r="S84" s="451"/>
      <c r="T84" s="451"/>
      <c r="U84" s="451"/>
      <c r="V84" s="451"/>
      <c r="W84" s="451"/>
      <c r="X84" s="451"/>
      <c r="Y84" s="451"/>
      <c r="Z84" s="451"/>
      <c r="AA84" s="451"/>
      <c r="AB84" s="451"/>
      <c r="AC84" s="451"/>
      <c r="AD84" s="451"/>
      <c r="AE84" s="451"/>
      <c r="AF84" s="451"/>
      <c r="AG84" s="451"/>
      <c r="AH84" s="451"/>
      <c r="AI84" s="451"/>
      <c r="AJ84" s="451"/>
      <c r="AK84" s="451"/>
      <c r="AL84" s="451"/>
      <c r="AM84" s="451"/>
      <c r="AN84" s="451"/>
      <c r="AO84" s="451"/>
      <c r="AP84" s="451"/>
      <c r="AQ84" s="451"/>
      <c r="AR84" s="451"/>
      <c r="AS84" s="451"/>
    </row>
    <row r="85" spans="1:45">
      <c r="A85" s="451"/>
      <c r="B85" s="451"/>
      <c r="C85" s="451"/>
      <c r="D85" s="451"/>
      <c r="E85" s="451"/>
      <c r="F85" s="451"/>
      <c r="G85" s="451"/>
      <c r="H85" s="451"/>
      <c r="I85" s="451"/>
      <c r="J85" s="451"/>
      <c r="K85" s="451"/>
      <c r="L85" s="451"/>
      <c r="M85" s="451"/>
      <c r="N85" s="451"/>
      <c r="O85" s="451"/>
      <c r="P85" s="451"/>
      <c r="Q85" s="451"/>
      <c r="R85" s="451"/>
      <c r="S85" s="451"/>
      <c r="T85" s="451"/>
      <c r="U85" s="451"/>
      <c r="V85" s="451"/>
      <c r="W85" s="451"/>
      <c r="X85" s="451"/>
      <c r="Y85" s="451"/>
      <c r="Z85" s="451"/>
      <c r="AA85" s="451"/>
      <c r="AB85" s="451"/>
      <c r="AC85" s="451"/>
      <c r="AD85" s="451"/>
      <c r="AE85" s="451"/>
      <c r="AF85" s="451"/>
      <c r="AG85" s="451"/>
      <c r="AH85" s="451"/>
      <c r="AI85" s="451"/>
      <c r="AJ85" s="451"/>
      <c r="AK85" s="451"/>
      <c r="AL85" s="451"/>
      <c r="AM85" s="451"/>
      <c r="AN85" s="451"/>
      <c r="AO85" s="451"/>
      <c r="AP85" s="451"/>
      <c r="AQ85" s="451"/>
      <c r="AR85" s="451"/>
      <c r="AS85" s="451"/>
    </row>
    <row r="86" spans="1:45">
      <c r="A86" s="451"/>
      <c r="B86" s="451"/>
      <c r="C86" s="451"/>
      <c r="D86" s="451"/>
      <c r="E86" s="451"/>
      <c r="F86" s="451"/>
      <c r="G86" s="451"/>
      <c r="H86" s="451"/>
      <c r="I86" s="451"/>
      <c r="J86" s="451"/>
      <c r="K86" s="451"/>
      <c r="L86" s="451"/>
      <c r="M86" s="451"/>
      <c r="N86" s="451"/>
      <c r="O86" s="451"/>
      <c r="P86" s="451"/>
      <c r="Q86" s="451"/>
      <c r="R86" s="451"/>
      <c r="S86" s="451"/>
      <c r="T86" s="451"/>
      <c r="U86" s="451"/>
      <c r="V86" s="451"/>
      <c r="W86" s="451"/>
      <c r="X86" s="451"/>
      <c r="Y86" s="451"/>
      <c r="Z86" s="451"/>
      <c r="AA86" s="451"/>
      <c r="AB86" s="451"/>
      <c r="AC86" s="451"/>
      <c r="AD86" s="451"/>
      <c r="AE86" s="451"/>
      <c r="AF86" s="451"/>
      <c r="AG86" s="451"/>
      <c r="AH86" s="451"/>
      <c r="AI86" s="451"/>
      <c r="AJ86" s="451"/>
      <c r="AK86" s="451"/>
      <c r="AL86" s="451"/>
      <c r="AM86" s="451"/>
      <c r="AN86" s="451"/>
      <c r="AO86" s="451"/>
      <c r="AP86" s="451"/>
      <c r="AQ86" s="451"/>
      <c r="AR86" s="451"/>
      <c r="AS86" s="451"/>
    </row>
    <row r="87" spans="1:45">
      <c r="A87" s="451"/>
      <c r="B87" s="451"/>
      <c r="C87" s="451"/>
      <c r="D87" s="451"/>
      <c r="E87" s="451"/>
      <c r="F87" s="451"/>
      <c r="G87" s="451"/>
      <c r="H87" s="451"/>
      <c r="I87" s="451"/>
      <c r="J87" s="451"/>
      <c r="K87" s="451"/>
      <c r="L87" s="451"/>
      <c r="M87" s="451"/>
      <c r="N87" s="451"/>
      <c r="O87" s="451"/>
      <c r="P87" s="451"/>
      <c r="Q87" s="451"/>
      <c r="R87" s="451"/>
      <c r="S87" s="451"/>
      <c r="T87" s="451"/>
      <c r="U87" s="451"/>
      <c r="V87" s="451"/>
      <c r="W87" s="451"/>
      <c r="X87" s="451"/>
      <c r="Y87" s="451"/>
      <c r="Z87" s="451"/>
      <c r="AA87" s="451"/>
      <c r="AB87" s="451"/>
      <c r="AC87" s="451"/>
      <c r="AD87" s="451"/>
      <c r="AE87" s="451"/>
      <c r="AF87" s="451"/>
      <c r="AG87" s="451"/>
      <c r="AH87" s="451"/>
      <c r="AI87" s="451"/>
      <c r="AJ87" s="451"/>
      <c r="AK87" s="451"/>
      <c r="AL87" s="451"/>
      <c r="AM87" s="451"/>
      <c r="AN87" s="451"/>
      <c r="AO87" s="451"/>
      <c r="AP87" s="451"/>
      <c r="AQ87" s="451"/>
      <c r="AR87" s="451"/>
      <c r="AS87" s="451"/>
    </row>
    <row r="88" spans="1:45">
      <c r="A88" s="451"/>
      <c r="B88" s="451"/>
      <c r="C88" s="451"/>
      <c r="D88" s="451"/>
      <c r="E88" s="451"/>
      <c r="F88" s="451"/>
      <c r="G88" s="451"/>
      <c r="H88" s="451"/>
      <c r="I88" s="451"/>
      <c r="J88" s="451"/>
      <c r="K88" s="451"/>
      <c r="L88" s="451"/>
      <c r="M88" s="451"/>
      <c r="N88" s="451"/>
      <c r="O88" s="451"/>
      <c r="P88" s="451"/>
      <c r="Q88" s="451"/>
      <c r="R88" s="451"/>
      <c r="S88" s="451"/>
      <c r="T88" s="451"/>
      <c r="U88" s="451"/>
      <c r="V88" s="451"/>
      <c r="W88" s="451"/>
      <c r="X88" s="451"/>
      <c r="Y88" s="451"/>
      <c r="Z88" s="451"/>
      <c r="AA88" s="451"/>
      <c r="AB88" s="451"/>
      <c r="AC88" s="451"/>
      <c r="AD88" s="451"/>
      <c r="AE88" s="451"/>
      <c r="AF88" s="451"/>
      <c r="AG88" s="451"/>
      <c r="AH88" s="451"/>
      <c r="AI88" s="451"/>
      <c r="AJ88" s="451"/>
      <c r="AK88" s="451"/>
      <c r="AL88" s="451"/>
      <c r="AM88" s="451"/>
      <c r="AN88" s="451"/>
      <c r="AO88" s="451"/>
      <c r="AP88" s="451"/>
      <c r="AQ88" s="451"/>
      <c r="AR88" s="451"/>
      <c r="AS88" s="451"/>
    </row>
    <row r="89" spans="1:45">
      <c r="A89" s="451"/>
      <c r="B89" s="451"/>
      <c r="C89" s="451"/>
      <c r="D89" s="451"/>
      <c r="E89" s="451"/>
      <c r="F89" s="451"/>
      <c r="G89" s="451"/>
      <c r="H89" s="451"/>
      <c r="I89" s="451"/>
      <c r="J89" s="451"/>
      <c r="K89" s="451"/>
      <c r="L89" s="451"/>
      <c r="M89" s="451"/>
      <c r="N89" s="451"/>
      <c r="O89" s="451"/>
      <c r="P89" s="451"/>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row>
    <row r="90" spans="1:45">
      <c r="A90" s="451"/>
      <c r="B90" s="451"/>
      <c r="C90" s="451"/>
      <c r="D90" s="451"/>
      <c r="E90" s="451"/>
      <c r="F90" s="451"/>
      <c r="G90" s="451"/>
      <c r="H90" s="451"/>
      <c r="I90" s="451"/>
      <c r="J90" s="451"/>
      <c r="K90" s="451"/>
      <c r="L90" s="451"/>
      <c r="M90" s="451"/>
      <c r="N90" s="451"/>
      <c r="O90" s="451"/>
      <c r="P90" s="451"/>
      <c r="Q90" s="451"/>
      <c r="R90" s="451"/>
      <c r="S90" s="451"/>
      <c r="T90" s="451"/>
      <c r="U90" s="451"/>
      <c r="V90" s="451"/>
      <c r="W90" s="451"/>
      <c r="X90" s="451"/>
      <c r="Y90" s="451"/>
      <c r="Z90" s="451"/>
      <c r="AA90" s="451"/>
      <c r="AB90" s="451"/>
      <c r="AC90" s="451"/>
      <c r="AD90" s="451"/>
      <c r="AE90" s="451"/>
      <c r="AF90" s="451"/>
      <c r="AG90" s="451"/>
      <c r="AH90" s="451"/>
      <c r="AI90" s="451"/>
      <c r="AJ90" s="451"/>
      <c r="AK90" s="451"/>
      <c r="AL90" s="451"/>
      <c r="AM90" s="451"/>
      <c r="AN90" s="451"/>
      <c r="AO90" s="451"/>
      <c r="AP90" s="451"/>
      <c r="AQ90" s="451"/>
      <c r="AR90" s="451"/>
      <c r="AS90" s="451"/>
    </row>
    <row r="91" spans="1:45">
      <c r="A91" s="451"/>
      <c r="B91" s="451"/>
      <c r="C91" s="451"/>
      <c r="D91" s="451"/>
      <c r="E91" s="451"/>
      <c r="F91" s="451"/>
      <c r="G91" s="451"/>
      <c r="H91" s="451"/>
      <c r="I91" s="451"/>
      <c r="J91" s="451"/>
      <c r="K91" s="451"/>
      <c r="L91" s="451"/>
      <c r="M91" s="451"/>
      <c r="N91" s="451"/>
      <c r="O91" s="451"/>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row>
    <row r="93" spans="1:45">
      <c r="A93" s="468" t="s">
        <v>107</v>
      </c>
      <c r="B93" s="468"/>
      <c r="C93" s="468"/>
      <c r="D93" s="468"/>
      <c r="E93" s="468"/>
      <c r="F93" s="468"/>
      <c r="G93" s="468"/>
      <c r="H93" s="468"/>
      <c r="I93" s="468"/>
      <c r="J93" s="468"/>
      <c r="K93" s="468"/>
      <c r="L93" s="468"/>
      <c r="M93" s="468"/>
      <c r="N93" s="468"/>
      <c r="O93" s="468"/>
      <c r="P93" s="468"/>
      <c r="Q93" s="468"/>
      <c r="R93" s="468"/>
      <c r="S93" s="468"/>
      <c r="T93" s="468"/>
      <c r="U93" s="468"/>
      <c r="V93" s="468"/>
      <c r="W93" s="468"/>
      <c r="X93" s="468"/>
      <c r="Y93" s="468"/>
      <c r="Z93" s="468"/>
      <c r="AA93" s="468"/>
      <c r="AB93" s="468"/>
      <c r="AC93" s="468"/>
      <c r="AD93" s="468"/>
      <c r="AE93" s="468"/>
      <c r="AF93" s="468"/>
      <c r="AG93" s="468"/>
      <c r="AH93" s="468"/>
      <c r="AI93" s="468"/>
      <c r="AJ93" s="468"/>
      <c r="AK93" s="468"/>
      <c r="AL93" s="468"/>
      <c r="AM93" s="468"/>
      <c r="AN93" s="468"/>
      <c r="AO93" s="468"/>
      <c r="AP93" s="468"/>
      <c r="AQ93" s="468"/>
      <c r="AR93" s="468"/>
      <c r="AS93" s="468"/>
    </row>
    <row r="95" spans="1:45">
      <c r="A95" s="448" t="s">
        <v>212</v>
      </c>
      <c r="B95" s="448"/>
      <c r="C95" s="448"/>
      <c r="D95" s="448"/>
      <c r="E95" s="448"/>
      <c r="F95" s="448"/>
      <c r="G95" s="448"/>
      <c r="H95" s="448"/>
      <c r="I95" s="448"/>
      <c r="J95" s="448"/>
      <c r="K95" s="448"/>
      <c r="L95" s="448"/>
      <c r="M95" s="448"/>
      <c r="N95" s="448"/>
      <c r="O95" s="448"/>
      <c r="P95" s="448"/>
      <c r="Q95" s="448"/>
      <c r="R95" s="448"/>
      <c r="S95" s="448"/>
      <c r="T95" s="448"/>
      <c r="U95" s="448"/>
      <c r="V95" s="448"/>
      <c r="W95" s="448"/>
      <c r="X95" s="448"/>
      <c r="Y95" s="448"/>
      <c r="Z95" s="448"/>
      <c r="AA95" s="448"/>
      <c r="AB95" s="448"/>
      <c r="AC95" s="448"/>
      <c r="AD95" s="448"/>
      <c r="AE95" s="448"/>
      <c r="AF95" s="448"/>
      <c r="AG95" s="448"/>
      <c r="AH95" s="448"/>
      <c r="AI95" s="448"/>
      <c r="AJ95" s="448"/>
      <c r="AK95" s="448"/>
      <c r="AL95" s="448"/>
      <c r="AM95" s="448"/>
      <c r="AN95" s="448"/>
      <c r="AO95" s="448"/>
      <c r="AP95" s="448"/>
      <c r="AQ95" s="448"/>
      <c r="AR95" s="448"/>
      <c r="AS95" s="448"/>
    </row>
    <row r="96" spans="1:45">
      <c r="A96" s="448"/>
      <c r="B96" s="448"/>
      <c r="C96" s="448"/>
      <c r="D96" s="448"/>
      <c r="E96" s="448"/>
      <c r="F96" s="448"/>
      <c r="G96" s="448"/>
      <c r="H96" s="448"/>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c r="AF96" s="448"/>
      <c r="AG96" s="448"/>
      <c r="AH96" s="448"/>
      <c r="AI96" s="448"/>
      <c r="AJ96" s="448"/>
      <c r="AK96" s="448"/>
      <c r="AL96" s="448"/>
      <c r="AM96" s="448"/>
      <c r="AN96" s="448"/>
      <c r="AO96" s="448"/>
      <c r="AP96" s="448"/>
      <c r="AQ96" s="448"/>
      <c r="AR96" s="448"/>
      <c r="AS96" s="448"/>
    </row>
    <row r="97" spans="1:45">
      <c r="A97" s="448"/>
      <c r="B97" s="448"/>
      <c r="C97" s="448"/>
      <c r="D97" s="448"/>
      <c r="E97" s="448"/>
      <c r="F97" s="448"/>
      <c r="G97" s="448"/>
      <c r="H97" s="448"/>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c r="AF97" s="448"/>
      <c r="AG97" s="448"/>
      <c r="AH97" s="448"/>
      <c r="AI97" s="448"/>
      <c r="AJ97" s="448"/>
      <c r="AK97" s="448"/>
      <c r="AL97" s="448"/>
      <c r="AM97" s="448"/>
      <c r="AN97" s="448"/>
      <c r="AO97" s="448"/>
      <c r="AP97" s="448"/>
      <c r="AQ97" s="448"/>
      <c r="AR97" s="448"/>
      <c r="AS97" s="448"/>
    </row>
    <row r="98" spans="1:45">
      <c r="A98" s="448"/>
      <c r="B98" s="448"/>
      <c r="C98" s="448"/>
      <c r="D98" s="448"/>
      <c r="E98" s="448"/>
      <c r="F98" s="448"/>
      <c r="G98" s="448"/>
      <c r="H98" s="448"/>
      <c r="I98" s="448"/>
      <c r="J98" s="448"/>
      <c r="K98" s="448"/>
      <c r="L98" s="448"/>
      <c r="M98" s="448"/>
      <c r="N98" s="448"/>
      <c r="O98" s="448"/>
      <c r="P98" s="448"/>
      <c r="Q98" s="448"/>
      <c r="R98" s="448"/>
      <c r="S98" s="448"/>
      <c r="T98" s="448"/>
      <c r="U98" s="448"/>
      <c r="V98" s="448"/>
      <c r="W98" s="448"/>
      <c r="X98" s="448"/>
      <c r="Y98" s="448"/>
      <c r="Z98" s="448"/>
      <c r="AA98" s="448"/>
      <c r="AB98" s="448"/>
      <c r="AC98" s="448"/>
      <c r="AD98" s="448"/>
      <c r="AE98" s="448"/>
      <c r="AF98" s="448"/>
      <c r="AG98" s="448"/>
      <c r="AH98" s="448"/>
      <c r="AI98" s="448"/>
      <c r="AJ98" s="448"/>
      <c r="AK98" s="448"/>
      <c r="AL98" s="448"/>
      <c r="AM98" s="448"/>
      <c r="AN98" s="448"/>
      <c r="AO98" s="448"/>
      <c r="AP98" s="448"/>
      <c r="AQ98" s="448"/>
      <c r="AR98" s="448"/>
      <c r="AS98" s="448"/>
    </row>
    <row r="100" spans="1:45">
      <c r="A100" s="468" t="s">
        <v>108</v>
      </c>
      <c r="B100" s="468"/>
      <c r="C100" s="468"/>
      <c r="D100" s="468"/>
      <c r="E100" s="468"/>
      <c r="F100" s="468"/>
      <c r="G100" s="468"/>
      <c r="H100" s="468"/>
      <c r="I100" s="468"/>
      <c r="J100" s="468"/>
      <c r="K100" s="468"/>
      <c r="L100" s="468"/>
      <c r="M100" s="468"/>
      <c r="N100" s="468"/>
      <c r="O100" s="468"/>
      <c r="P100" s="468"/>
      <c r="Q100" s="468"/>
      <c r="R100" s="468"/>
      <c r="S100" s="468"/>
      <c r="T100" s="468"/>
      <c r="U100" s="468"/>
      <c r="V100" s="468"/>
      <c r="W100" s="468"/>
      <c r="X100" s="468"/>
      <c r="Y100" s="468"/>
      <c r="Z100" s="468"/>
      <c r="AA100" s="468"/>
      <c r="AB100" s="468"/>
      <c r="AC100" s="468"/>
      <c r="AD100" s="468"/>
      <c r="AE100" s="468"/>
      <c r="AF100" s="468"/>
      <c r="AG100" s="468"/>
      <c r="AH100" s="468"/>
      <c r="AI100" s="468"/>
      <c r="AJ100" s="468"/>
      <c r="AK100" s="468"/>
      <c r="AL100" s="468"/>
      <c r="AM100" s="468"/>
      <c r="AN100" s="468"/>
      <c r="AO100" s="468"/>
      <c r="AP100" s="468"/>
      <c r="AQ100" s="468"/>
      <c r="AR100" s="468"/>
      <c r="AS100" s="468"/>
    </row>
    <row r="102" spans="1:45">
      <c r="A102" s="448" t="s">
        <v>214</v>
      </c>
      <c r="B102" s="448"/>
      <c r="C102" s="448"/>
      <c r="D102" s="448"/>
      <c r="E102" s="448"/>
      <c r="F102" s="448"/>
      <c r="G102" s="448"/>
      <c r="H102" s="448"/>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c r="AF102" s="448"/>
      <c r="AG102" s="448"/>
      <c r="AH102" s="448"/>
      <c r="AI102" s="448"/>
      <c r="AJ102" s="448"/>
      <c r="AK102" s="448"/>
      <c r="AL102" s="448"/>
      <c r="AM102" s="448"/>
      <c r="AN102" s="448"/>
      <c r="AO102" s="448"/>
      <c r="AP102" s="448"/>
      <c r="AQ102" s="448"/>
      <c r="AR102" s="448"/>
      <c r="AS102" s="448"/>
    </row>
    <row r="103" spans="1:45">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c r="AE103" s="448"/>
      <c r="AF103" s="448"/>
      <c r="AG103" s="448"/>
      <c r="AH103" s="448"/>
      <c r="AI103" s="448"/>
      <c r="AJ103" s="448"/>
      <c r="AK103" s="448"/>
      <c r="AL103" s="448"/>
      <c r="AM103" s="448"/>
      <c r="AN103" s="448"/>
      <c r="AO103" s="448"/>
      <c r="AP103" s="448"/>
      <c r="AQ103" s="448"/>
      <c r="AR103" s="448"/>
      <c r="AS103" s="448"/>
    </row>
    <row r="104" spans="1:45">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c r="AF104" s="448"/>
      <c r="AG104" s="448"/>
      <c r="AH104" s="448"/>
      <c r="AI104" s="448"/>
      <c r="AJ104" s="448"/>
      <c r="AK104" s="448"/>
      <c r="AL104" s="448"/>
      <c r="AM104" s="448"/>
      <c r="AN104" s="448"/>
      <c r="AO104" s="448"/>
      <c r="AP104" s="448"/>
      <c r="AQ104" s="448"/>
      <c r="AR104" s="448"/>
      <c r="AS104" s="448"/>
    </row>
    <row r="105" spans="1:4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c r="AF105" s="448"/>
      <c r="AG105" s="448"/>
      <c r="AH105" s="448"/>
      <c r="AI105" s="448"/>
      <c r="AJ105" s="448"/>
      <c r="AK105" s="448"/>
      <c r="AL105" s="448"/>
      <c r="AM105" s="448"/>
      <c r="AN105" s="448"/>
      <c r="AO105" s="448"/>
      <c r="AP105" s="448"/>
      <c r="AQ105" s="448"/>
      <c r="AR105" s="448"/>
      <c r="AS105" s="448"/>
    </row>
    <row r="106" spans="1:45">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8"/>
      <c r="AH106" s="448"/>
      <c r="AI106" s="448"/>
      <c r="AJ106" s="448"/>
      <c r="AK106" s="448"/>
      <c r="AL106" s="448"/>
      <c r="AM106" s="448"/>
      <c r="AN106" s="448"/>
      <c r="AO106" s="448"/>
      <c r="AP106" s="448"/>
      <c r="AQ106" s="448"/>
      <c r="AR106" s="448"/>
      <c r="AS106" s="448"/>
    </row>
    <row r="108" spans="1:45">
      <c r="A108" s="468" t="s">
        <v>109</v>
      </c>
      <c r="B108" s="468"/>
      <c r="C108" s="468"/>
      <c r="D108" s="468"/>
      <c r="E108" s="468"/>
      <c r="F108" s="468"/>
      <c r="G108" s="468"/>
      <c r="H108" s="468"/>
      <c r="I108" s="468"/>
      <c r="J108" s="468"/>
      <c r="K108" s="468"/>
      <c r="L108" s="468"/>
      <c r="M108" s="468"/>
      <c r="N108" s="468"/>
      <c r="O108" s="468"/>
      <c r="P108" s="468"/>
      <c r="Q108" s="468"/>
      <c r="R108" s="468"/>
      <c r="S108" s="468"/>
      <c r="T108" s="468"/>
      <c r="U108" s="468"/>
      <c r="V108" s="468"/>
      <c r="W108" s="468"/>
      <c r="X108" s="468"/>
      <c r="Y108" s="468"/>
      <c r="Z108" s="468"/>
      <c r="AA108" s="468"/>
      <c r="AB108" s="468"/>
      <c r="AC108" s="468"/>
      <c r="AD108" s="468"/>
      <c r="AE108" s="468"/>
      <c r="AF108" s="468"/>
      <c r="AG108" s="468"/>
      <c r="AH108" s="468"/>
      <c r="AI108" s="468"/>
      <c r="AJ108" s="468"/>
      <c r="AK108" s="468"/>
      <c r="AL108" s="468"/>
      <c r="AM108" s="468"/>
      <c r="AN108" s="468"/>
      <c r="AO108" s="468"/>
      <c r="AP108" s="468"/>
      <c r="AQ108" s="468"/>
      <c r="AR108" s="468"/>
      <c r="AS108" s="468"/>
    </row>
    <row r="110" spans="1:45">
      <c r="A110" s="448" t="s">
        <v>229</v>
      </c>
      <c r="B110" s="44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8"/>
      <c r="AH110" s="448"/>
      <c r="AI110" s="448"/>
      <c r="AJ110" s="448"/>
      <c r="AK110" s="448"/>
      <c r="AL110" s="448"/>
      <c r="AM110" s="448"/>
      <c r="AN110" s="448"/>
      <c r="AO110" s="448"/>
      <c r="AP110" s="448"/>
      <c r="AQ110" s="448"/>
      <c r="AR110" s="448"/>
      <c r="AS110" s="448"/>
    </row>
    <row r="111" spans="1:45">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c r="AF111" s="448"/>
      <c r="AG111" s="448"/>
      <c r="AH111" s="448"/>
      <c r="AI111" s="448"/>
      <c r="AJ111" s="448"/>
      <c r="AK111" s="448"/>
      <c r="AL111" s="448"/>
      <c r="AM111" s="448"/>
      <c r="AN111" s="448"/>
      <c r="AO111" s="448"/>
      <c r="AP111" s="448"/>
      <c r="AQ111" s="448"/>
      <c r="AR111" s="448"/>
      <c r="AS111" s="448"/>
    </row>
    <row r="112" spans="1:45">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8"/>
      <c r="AH112" s="448"/>
      <c r="AI112" s="448"/>
      <c r="AJ112" s="448"/>
      <c r="AK112" s="448"/>
      <c r="AL112" s="448"/>
      <c r="AM112" s="448"/>
      <c r="AN112" s="448"/>
      <c r="AO112" s="448"/>
      <c r="AP112" s="448"/>
      <c r="AQ112" s="448"/>
      <c r="AR112" s="448"/>
      <c r="AS112" s="448"/>
    </row>
    <row r="113" spans="1:45">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c r="W113" s="448"/>
      <c r="X113" s="448"/>
      <c r="Y113" s="448"/>
      <c r="Z113" s="448"/>
      <c r="AA113" s="448"/>
      <c r="AB113" s="448"/>
      <c r="AC113" s="448"/>
      <c r="AD113" s="448"/>
      <c r="AE113" s="448"/>
      <c r="AF113" s="448"/>
      <c r="AG113" s="448"/>
      <c r="AH113" s="448"/>
      <c r="AI113" s="448"/>
      <c r="AJ113" s="448"/>
      <c r="AK113" s="448"/>
      <c r="AL113" s="448"/>
      <c r="AM113" s="448"/>
      <c r="AN113" s="448"/>
      <c r="AO113" s="448"/>
      <c r="AP113" s="448"/>
      <c r="AQ113" s="448"/>
      <c r="AR113" s="448"/>
      <c r="AS113" s="448"/>
    </row>
    <row r="114" spans="1:45">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c r="W114" s="448"/>
      <c r="X114" s="448"/>
      <c r="Y114" s="448"/>
      <c r="Z114" s="448"/>
      <c r="AA114" s="448"/>
      <c r="AB114" s="448"/>
      <c r="AC114" s="448"/>
      <c r="AD114" s="448"/>
      <c r="AE114" s="448"/>
      <c r="AF114" s="448"/>
      <c r="AG114" s="448"/>
      <c r="AH114" s="448"/>
      <c r="AI114" s="448"/>
      <c r="AJ114" s="448"/>
      <c r="AK114" s="448"/>
      <c r="AL114" s="448"/>
      <c r="AM114" s="448"/>
      <c r="AN114" s="448"/>
      <c r="AO114" s="448"/>
      <c r="AP114" s="448"/>
      <c r="AQ114" s="448"/>
      <c r="AR114" s="448"/>
      <c r="AS114" s="448"/>
    </row>
    <row r="116" spans="1:45">
      <c r="A116" s="468" t="s">
        <v>110</v>
      </c>
      <c r="B116" s="468"/>
      <c r="C116" s="468"/>
      <c r="D116" s="468"/>
      <c r="E116" s="468"/>
      <c r="F116" s="468"/>
      <c r="G116" s="468"/>
      <c r="H116" s="468"/>
      <c r="I116" s="468"/>
      <c r="J116" s="468"/>
      <c r="K116" s="468"/>
      <c r="L116" s="468"/>
      <c r="M116" s="468"/>
      <c r="N116" s="468"/>
      <c r="O116" s="468"/>
      <c r="P116" s="468"/>
      <c r="Q116" s="468"/>
      <c r="R116" s="468"/>
      <c r="S116" s="468"/>
      <c r="T116" s="468"/>
      <c r="U116" s="468"/>
      <c r="V116" s="468"/>
      <c r="W116" s="468"/>
      <c r="X116" s="468"/>
      <c r="Y116" s="468"/>
      <c r="Z116" s="468"/>
      <c r="AA116" s="468"/>
      <c r="AB116" s="468"/>
      <c r="AC116" s="468"/>
      <c r="AD116" s="468"/>
      <c r="AE116" s="468"/>
      <c r="AF116" s="468"/>
      <c r="AG116" s="468"/>
      <c r="AH116" s="468"/>
      <c r="AI116" s="468"/>
      <c r="AJ116" s="468"/>
      <c r="AK116" s="468"/>
      <c r="AL116" s="468"/>
      <c r="AM116" s="468"/>
      <c r="AN116" s="468"/>
      <c r="AO116" s="468"/>
      <c r="AP116" s="468"/>
      <c r="AQ116" s="468"/>
      <c r="AR116" s="468"/>
      <c r="AS116" s="468"/>
    </row>
    <row r="118" spans="1:45">
      <c r="A118" s="449" t="s">
        <v>215</v>
      </c>
      <c r="B118" s="449"/>
      <c r="C118" s="449"/>
      <c r="D118" s="449"/>
      <c r="E118" s="449"/>
      <c r="F118" s="449"/>
      <c r="G118" s="449"/>
      <c r="H118" s="449"/>
      <c r="I118" s="449"/>
      <c r="J118" s="449"/>
      <c r="K118" s="449"/>
      <c r="L118" s="449"/>
      <c r="M118" s="449"/>
      <c r="N118" s="449"/>
      <c r="O118" s="449"/>
      <c r="P118" s="449"/>
      <c r="Q118" s="449"/>
      <c r="R118" s="449"/>
      <c r="S118" s="449"/>
      <c r="T118" s="449"/>
      <c r="U118" s="449"/>
      <c r="V118" s="449"/>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row>
    <row r="119" spans="1:45">
      <c r="A119" s="449"/>
      <c r="B119" s="449"/>
      <c r="C119" s="449"/>
      <c r="D119" s="449"/>
      <c r="E119" s="449"/>
      <c r="F119" s="449"/>
      <c r="G119" s="449"/>
      <c r="H119" s="449"/>
      <c r="I119" s="449"/>
      <c r="J119" s="449"/>
      <c r="K119" s="449"/>
      <c r="L119" s="449"/>
      <c r="M119" s="449"/>
      <c r="N119" s="449"/>
      <c r="O119" s="449"/>
      <c r="P119" s="449"/>
      <c r="Q119" s="449"/>
      <c r="R119" s="449"/>
      <c r="S119" s="449"/>
      <c r="T119" s="449"/>
      <c r="U119" s="449"/>
      <c r="V119" s="449"/>
      <c r="W119" s="449"/>
      <c r="X119" s="449"/>
      <c r="Y119" s="449"/>
      <c r="Z119" s="449"/>
      <c r="AA119" s="449"/>
      <c r="AB119" s="449"/>
      <c r="AC119" s="449"/>
      <c r="AD119" s="449"/>
      <c r="AE119" s="449"/>
      <c r="AF119" s="449"/>
      <c r="AG119" s="449"/>
      <c r="AH119" s="449"/>
      <c r="AI119" s="449"/>
      <c r="AJ119" s="449"/>
      <c r="AK119" s="449"/>
      <c r="AL119" s="449"/>
      <c r="AM119" s="449"/>
      <c r="AN119" s="449"/>
      <c r="AO119" s="449"/>
      <c r="AP119" s="449"/>
      <c r="AQ119" s="449"/>
      <c r="AR119" s="449"/>
      <c r="AS119" s="449"/>
    </row>
    <row r="120" spans="1:45">
      <c r="A120" s="449"/>
      <c r="B120" s="449"/>
      <c r="C120" s="449"/>
      <c r="D120" s="449"/>
      <c r="E120" s="449"/>
      <c r="F120" s="449"/>
      <c r="G120" s="449"/>
      <c r="H120" s="449"/>
      <c r="I120" s="449"/>
      <c r="J120" s="449"/>
      <c r="K120" s="449"/>
      <c r="L120" s="449"/>
      <c r="M120" s="449"/>
      <c r="N120" s="449"/>
      <c r="O120" s="449"/>
      <c r="P120" s="449"/>
      <c r="Q120" s="449"/>
      <c r="R120" s="449"/>
      <c r="S120" s="449"/>
      <c r="T120" s="449"/>
      <c r="U120" s="449"/>
      <c r="V120" s="449"/>
      <c r="W120" s="449"/>
      <c r="X120" s="449"/>
      <c r="Y120" s="449"/>
      <c r="Z120" s="449"/>
      <c r="AA120" s="449"/>
      <c r="AB120" s="449"/>
      <c r="AC120" s="449"/>
      <c r="AD120" s="449"/>
      <c r="AE120" s="449"/>
      <c r="AF120" s="449"/>
      <c r="AG120" s="449"/>
      <c r="AH120" s="449"/>
      <c r="AI120" s="449"/>
      <c r="AJ120" s="449"/>
      <c r="AK120" s="449"/>
      <c r="AL120" s="449"/>
      <c r="AM120" s="449"/>
      <c r="AN120" s="449"/>
      <c r="AO120" s="449"/>
      <c r="AP120" s="449"/>
      <c r="AQ120" s="449"/>
      <c r="AR120" s="449"/>
      <c r="AS120" s="449"/>
    </row>
    <row r="121" spans="1:45">
      <c r="A121" s="449"/>
      <c r="B121" s="449"/>
      <c r="C121" s="449"/>
      <c r="D121" s="449"/>
      <c r="E121" s="449"/>
      <c r="F121" s="449"/>
      <c r="G121" s="449"/>
      <c r="H121" s="449"/>
      <c r="I121" s="449"/>
      <c r="J121" s="449"/>
      <c r="K121" s="449"/>
      <c r="L121" s="449"/>
      <c r="M121" s="449"/>
      <c r="N121" s="449"/>
      <c r="O121" s="449"/>
      <c r="P121" s="449"/>
      <c r="Q121" s="449"/>
      <c r="R121" s="449"/>
      <c r="S121" s="449"/>
      <c r="T121" s="449"/>
      <c r="U121" s="449"/>
      <c r="V121" s="449"/>
      <c r="W121" s="449"/>
      <c r="X121" s="449"/>
      <c r="Y121" s="449"/>
      <c r="Z121" s="449"/>
      <c r="AA121" s="449"/>
      <c r="AB121" s="449"/>
      <c r="AC121" s="449"/>
      <c r="AD121" s="449"/>
      <c r="AE121" s="449"/>
      <c r="AF121" s="449"/>
      <c r="AG121" s="449"/>
      <c r="AH121" s="449"/>
      <c r="AI121" s="449"/>
      <c r="AJ121" s="449"/>
      <c r="AK121" s="449"/>
      <c r="AL121" s="449"/>
      <c r="AM121" s="449"/>
      <c r="AN121" s="449"/>
      <c r="AO121" s="449"/>
      <c r="AP121" s="449"/>
      <c r="AQ121" s="449"/>
      <c r="AR121" s="449"/>
      <c r="AS121" s="449"/>
    </row>
    <row r="122" spans="1:45">
      <c r="A122" s="449"/>
      <c r="B122" s="449"/>
      <c r="C122" s="449"/>
      <c r="D122" s="449"/>
      <c r="E122" s="449"/>
      <c r="F122" s="449"/>
      <c r="G122" s="449"/>
      <c r="H122" s="449"/>
      <c r="I122" s="449"/>
      <c r="J122" s="449"/>
      <c r="K122" s="449"/>
      <c r="L122" s="449"/>
      <c r="M122" s="449"/>
      <c r="N122" s="449"/>
      <c r="O122" s="449"/>
      <c r="P122" s="449"/>
      <c r="Q122" s="449"/>
      <c r="R122" s="449"/>
      <c r="S122" s="449"/>
      <c r="T122" s="449"/>
      <c r="U122" s="449"/>
      <c r="V122" s="449"/>
      <c r="W122" s="449"/>
      <c r="X122" s="449"/>
      <c r="Y122" s="449"/>
      <c r="Z122" s="449"/>
      <c r="AA122" s="449"/>
      <c r="AB122" s="449"/>
      <c r="AC122" s="449"/>
      <c r="AD122" s="449"/>
      <c r="AE122" s="449"/>
      <c r="AF122" s="449"/>
      <c r="AG122" s="449"/>
      <c r="AH122" s="449"/>
      <c r="AI122" s="449"/>
      <c r="AJ122" s="449"/>
      <c r="AK122" s="449"/>
      <c r="AL122" s="449"/>
      <c r="AM122" s="449"/>
      <c r="AN122" s="449"/>
      <c r="AO122" s="449"/>
      <c r="AP122" s="449"/>
      <c r="AQ122" s="449"/>
      <c r="AR122" s="449"/>
      <c r="AS122" s="449"/>
    </row>
    <row r="124" spans="1:45">
      <c r="A124" s="468" t="s">
        <v>111</v>
      </c>
      <c r="B124" s="468"/>
      <c r="C124" s="468"/>
      <c r="D124" s="468"/>
      <c r="E124" s="468"/>
      <c r="F124" s="468"/>
      <c r="G124" s="468"/>
      <c r="H124" s="468"/>
      <c r="I124" s="468"/>
      <c r="J124" s="468"/>
      <c r="K124" s="468"/>
      <c r="L124" s="468"/>
      <c r="M124" s="468"/>
      <c r="N124" s="468"/>
      <c r="O124" s="468"/>
      <c r="P124" s="468"/>
      <c r="Q124" s="468"/>
      <c r="R124" s="468"/>
      <c r="S124" s="468"/>
      <c r="T124" s="468"/>
      <c r="U124" s="468"/>
      <c r="V124" s="468"/>
      <c r="W124" s="468"/>
      <c r="X124" s="468"/>
      <c r="Y124" s="468"/>
      <c r="Z124" s="468"/>
      <c r="AA124" s="468"/>
      <c r="AB124" s="468"/>
      <c r="AC124" s="468"/>
      <c r="AD124" s="468"/>
      <c r="AE124" s="468"/>
      <c r="AF124" s="468"/>
      <c r="AG124" s="468"/>
      <c r="AH124" s="468"/>
      <c r="AI124" s="468"/>
      <c r="AJ124" s="468"/>
      <c r="AK124" s="468"/>
      <c r="AL124" s="468"/>
      <c r="AM124" s="468"/>
      <c r="AN124" s="468"/>
      <c r="AO124" s="468"/>
      <c r="AP124" s="468"/>
      <c r="AQ124" s="468"/>
      <c r="AR124" s="468"/>
      <c r="AS124" s="468"/>
    </row>
    <row r="126" spans="1:45">
      <c r="B126" s="94" t="s">
        <v>112</v>
      </c>
    </row>
    <row r="127" spans="1:45">
      <c r="B127" s="452" t="s">
        <v>201</v>
      </c>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row>
    <row r="128" spans="1:45">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row>
    <row r="129" spans="2:42">
      <c r="B129" s="163" t="s">
        <v>254</v>
      </c>
    </row>
    <row r="130" spans="2:42">
      <c r="B130" s="94" t="s">
        <v>113</v>
      </c>
    </row>
    <row r="131" spans="2:42">
      <c r="B131" s="95" t="s">
        <v>273</v>
      </c>
    </row>
    <row r="132" spans="2:42">
      <c r="B132" s="95" t="s">
        <v>273</v>
      </c>
    </row>
    <row r="133" spans="2:42">
      <c r="B133" s="95" t="s">
        <v>273</v>
      </c>
    </row>
    <row r="134" spans="2:42">
      <c r="AF134" s="95" t="s">
        <v>277</v>
      </c>
    </row>
    <row r="136" spans="2:42">
      <c r="B136" s="88" t="s">
        <v>115</v>
      </c>
    </row>
    <row r="138" spans="2:42">
      <c r="B138" s="94" t="s">
        <v>116</v>
      </c>
      <c r="AF138" s="94" t="s">
        <v>117</v>
      </c>
    </row>
    <row r="140" spans="2:42">
      <c r="B140" s="97"/>
      <c r="C140" s="97"/>
      <c r="D140" s="97"/>
      <c r="E140" s="97"/>
      <c r="F140" s="97"/>
      <c r="G140" s="97"/>
      <c r="H140" s="97"/>
      <c r="I140" s="97"/>
      <c r="J140" s="97"/>
      <c r="K140" s="97"/>
      <c r="L140" s="191" t="s">
        <v>284</v>
      </c>
      <c r="AF140" s="97"/>
      <c r="AG140" s="97"/>
      <c r="AH140" s="97"/>
      <c r="AI140" s="97"/>
      <c r="AJ140" s="97"/>
      <c r="AK140" s="97"/>
      <c r="AL140" s="97"/>
      <c r="AM140" s="97"/>
      <c r="AN140" s="97"/>
      <c r="AO140" s="97"/>
      <c r="AP140" s="97"/>
    </row>
    <row r="142" spans="2:42">
      <c r="B142" s="94" t="s">
        <v>118</v>
      </c>
      <c r="AF142" s="94" t="s">
        <v>118</v>
      </c>
    </row>
    <row r="151" spans="1:46">
      <c r="Q151" s="91" t="str">
        <f>CONCATENATE("Приложение к договору №1")</f>
        <v>Приложение к договору №1</v>
      </c>
      <c r="AK151" s="89" t="str">
        <f>CONCATENATE("от ",AW3)</f>
        <v>от "27" июня 2016 г.</v>
      </c>
    </row>
    <row r="153" spans="1:46">
      <c r="V153" s="88" t="s">
        <v>119</v>
      </c>
    </row>
    <row r="154" spans="1:46">
      <c r="M154" s="88" t="s">
        <v>120</v>
      </c>
    </row>
    <row r="155" spans="1:46">
      <c r="A155" s="94" t="s">
        <v>92</v>
      </c>
      <c r="AK155" s="93" t="str">
        <f>AW3</f>
        <v>"27" июня 2016 г.</v>
      </c>
    </row>
    <row r="156" spans="1:46" ht="10.5" customHeight="1"/>
    <row r="157" spans="1:46">
      <c r="C157" s="453" t="str">
        <f>CONCATENATE("Настоящие стороны согласно договору № ",AW2," от ",AW3," на аренду, ")</f>
        <v xml:space="preserve">Настоящие стороны согласно договору № 27/06-А(16) от "27" июня 2016 г. на аренду, </v>
      </c>
      <c r="D157" s="453"/>
      <c r="E157" s="453"/>
      <c r="F157" s="453"/>
      <c r="G157" s="453"/>
      <c r="H157" s="453"/>
      <c r="I157" s="453"/>
      <c r="J157" s="453"/>
      <c r="K157" s="453"/>
      <c r="L157" s="453"/>
      <c r="M157" s="453"/>
      <c r="N157" s="453"/>
      <c r="O157" s="453"/>
      <c r="P157" s="453"/>
      <c r="Q157" s="453"/>
      <c r="R157" s="453"/>
      <c r="S157" s="453"/>
      <c r="T157" s="453"/>
      <c r="U157" s="453"/>
      <c r="V157" s="453"/>
      <c r="W157" s="453"/>
      <c r="X157" s="453"/>
      <c r="Y157" s="453"/>
      <c r="Z157" s="453"/>
      <c r="AA157" s="453"/>
      <c r="AB157" s="453"/>
      <c r="AC157" s="453"/>
      <c r="AD157" s="453"/>
      <c r="AE157" s="453"/>
      <c r="AF157" s="453"/>
      <c r="AG157" s="453"/>
      <c r="AH157" s="453"/>
      <c r="AI157" s="453"/>
      <c r="AJ157" s="453"/>
      <c r="AK157" s="453"/>
      <c r="AL157" s="453"/>
      <c r="AM157" s="453"/>
      <c r="AN157" s="453"/>
      <c r="AO157" s="453"/>
      <c r="AP157" s="453"/>
      <c r="AQ157" s="453"/>
      <c r="AR157" s="453"/>
      <c r="AS157" s="453"/>
      <c r="AT157" s="453"/>
    </row>
    <row r="158" spans="1:46" ht="66" customHeight="1">
      <c r="A158" s="451" t="s">
        <v>191</v>
      </c>
      <c r="B158" s="451"/>
      <c r="C158" s="451"/>
      <c r="D158" s="451"/>
      <c r="E158" s="451"/>
      <c r="F158" s="451"/>
      <c r="G158" s="451"/>
      <c r="H158" s="451"/>
      <c r="I158" s="451"/>
      <c r="J158" s="451"/>
      <c r="K158" s="451"/>
      <c r="L158" s="451"/>
      <c r="M158" s="451"/>
      <c r="N158" s="451"/>
      <c r="O158" s="451"/>
      <c r="P158" s="451"/>
      <c r="Q158" s="451"/>
      <c r="R158" s="451"/>
      <c r="S158" s="451"/>
      <c r="T158" s="451"/>
      <c r="U158" s="451"/>
      <c r="V158" s="451"/>
      <c r="W158" s="451"/>
      <c r="X158" s="451"/>
      <c r="Y158" s="451"/>
      <c r="Z158" s="451"/>
      <c r="AA158" s="451"/>
      <c r="AB158" s="451"/>
      <c r="AC158" s="451"/>
      <c r="AD158" s="451"/>
      <c r="AE158" s="451"/>
      <c r="AF158" s="451"/>
      <c r="AG158" s="451"/>
      <c r="AH158" s="451"/>
      <c r="AI158" s="451"/>
      <c r="AJ158" s="451"/>
      <c r="AK158" s="451"/>
      <c r="AL158" s="451"/>
      <c r="AM158" s="451"/>
      <c r="AN158" s="451"/>
      <c r="AO158" s="451"/>
      <c r="AP158" s="451"/>
      <c r="AQ158" s="451"/>
      <c r="AR158" s="451"/>
      <c r="AS158" s="451"/>
      <c r="AT158" s="126"/>
    </row>
    <row r="159" spans="1:46" ht="6" customHeight="1"/>
    <row r="160" spans="1:46" ht="43.5" customHeight="1">
      <c r="A160" s="459" t="s">
        <v>121</v>
      </c>
      <c r="B160" s="459"/>
      <c r="C160" s="459"/>
      <c r="D160" s="459"/>
      <c r="E160" s="459" t="s">
        <v>31</v>
      </c>
      <c r="F160" s="459"/>
      <c r="G160" s="459"/>
      <c r="H160" s="459"/>
      <c r="I160" s="459"/>
      <c r="J160" s="459"/>
      <c r="K160" s="459"/>
      <c r="L160" s="459"/>
      <c r="M160" s="459"/>
      <c r="N160" s="459"/>
      <c r="O160" s="459"/>
      <c r="P160" s="459"/>
      <c r="Q160" s="459"/>
      <c r="R160" s="459"/>
      <c r="S160" s="459"/>
      <c r="T160" s="459"/>
      <c r="U160" s="459"/>
      <c r="V160" s="459"/>
      <c r="W160" s="459"/>
      <c r="X160" s="459"/>
      <c r="Y160" s="460" t="s">
        <v>123</v>
      </c>
      <c r="Z160" s="460"/>
      <c r="AA160" s="460"/>
      <c r="AB160" s="460"/>
      <c r="AC160" s="460"/>
      <c r="AD160" s="460"/>
      <c r="AE160" s="460"/>
      <c r="AF160" s="460" t="s">
        <v>122</v>
      </c>
      <c r="AG160" s="460"/>
      <c r="AH160" s="460"/>
      <c r="AI160" s="460"/>
      <c r="AJ160" s="460"/>
      <c r="AK160" s="460"/>
      <c r="AL160" s="460"/>
      <c r="AM160" s="459" t="s">
        <v>34</v>
      </c>
      <c r="AN160" s="459"/>
      <c r="AO160" s="459"/>
      <c r="AP160" s="459"/>
      <c r="AQ160" s="459"/>
      <c r="AR160" s="459"/>
      <c r="AS160" s="459"/>
    </row>
    <row r="161" spans="1:45">
      <c r="A161" s="461">
        <v>1</v>
      </c>
      <c r="B161" s="461"/>
      <c r="C161" s="461"/>
      <c r="D161" s="461"/>
      <c r="E161" s="456" t="s">
        <v>124</v>
      </c>
      <c r="F161" s="456"/>
      <c r="G161" s="456"/>
      <c r="H161" s="456"/>
      <c r="I161" s="456"/>
      <c r="J161" s="456"/>
      <c r="K161" s="456"/>
      <c r="L161" s="456"/>
      <c r="M161" s="456"/>
      <c r="N161" s="456"/>
      <c r="O161" s="456"/>
      <c r="P161" s="456"/>
      <c r="Q161" s="456"/>
      <c r="R161" s="456"/>
      <c r="S161" s="456"/>
      <c r="T161" s="456"/>
      <c r="U161" s="456"/>
      <c r="V161" s="456"/>
      <c r="W161" s="456"/>
      <c r="X161" s="456"/>
      <c r="Y161" s="461">
        <f>'Расчет лесов'!B8</f>
        <v>4</v>
      </c>
      <c r="Z161" s="461"/>
      <c r="AA161" s="461"/>
      <c r="AB161" s="461"/>
      <c r="AC161" s="461"/>
      <c r="AD161" s="461"/>
      <c r="AE161" s="461"/>
      <c r="AF161" s="462">
        <f>'Расчет лесов'!C8</f>
        <v>1400</v>
      </c>
      <c r="AG161" s="462"/>
      <c r="AH161" s="462"/>
      <c r="AI161" s="462"/>
      <c r="AJ161" s="462"/>
      <c r="AK161" s="462"/>
      <c r="AL161" s="462"/>
      <c r="AM161" s="463">
        <f t="shared" ref="AM161:AM166" si="0">Y161*AF161</f>
        <v>5600</v>
      </c>
      <c r="AN161" s="463"/>
      <c r="AO161" s="463"/>
      <c r="AP161" s="463"/>
      <c r="AQ161" s="463"/>
      <c r="AR161" s="463"/>
      <c r="AS161" s="463"/>
    </row>
    <row r="162" spans="1:45">
      <c r="A162" s="461">
        <v>2</v>
      </c>
      <c r="B162" s="461"/>
      <c r="C162" s="461"/>
      <c r="D162" s="461"/>
      <c r="E162" s="456" t="s">
        <v>125</v>
      </c>
      <c r="F162" s="456"/>
      <c r="G162" s="456"/>
      <c r="H162" s="456"/>
      <c r="I162" s="456"/>
      <c r="J162" s="456"/>
      <c r="K162" s="456"/>
      <c r="L162" s="456"/>
      <c r="M162" s="456"/>
      <c r="N162" s="456"/>
      <c r="O162" s="456"/>
      <c r="P162" s="456"/>
      <c r="Q162" s="456"/>
      <c r="R162" s="456"/>
      <c r="S162" s="456"/>
      <c r="T162" s="456"/>
      <c r="U162" s="456"/>
      <c r="V162" s="456"/>
      <c r="W162" s="456"/>
      <c r="X162" s="456"/>
      <c r="Y162" s="461">
        <f>'Расчет лесов'!B9</f>
        <v>4</v>
      </c>
      <c r="Z162" s="461"/>
      <c r="AA162" s="461"/>
      <c r="AB162" s="461"/>
      <c r="AC162" s="461"/>
      <c r="AD162" s="461"/>
      <c r="AE162" s="461"/>
      <c r="AF162" s="462">
        <f>'Расчет лесов'!C9</f>
        <v>1670</v>
      </c>
      <c r="AG162" s="462"/>
      <c r="AH162" s="462"/>
      <c r="AI162" s="462"/>
      <c r="AJ162" s="462"/>
      <c r="AK162" s="462"/>
      <c r="AL162" s="462"/>
      <c r="AM162" s="463">
        <f t="shared" si="0"/>
        <v>6680</v>
      </c>
      <c r="AN162" s="463"/>
      <c r="AO162" s="463"/>
      <c r="AP162" s="463"/>
      <c r="AQ162" s="463"/>
      <c r="AR162" s="463"/>
      <c r="AS162" s="463"/>
    </row>
    <row r="163" spans="1:45">
      <c r="A163" s="461">
        <v>3</v>
      </c>
      <c r="B163" s="461"/>
      <c r="C163" s="461"/>
      <c r="D163" s="461"/>
      <c r="E163" s="456" t="s">
        <v>126</v>
      </c>
      <c r="F163" s="456"/>
      <c r="G163" s="456"/>
      <c r="H163" s="456"/>
      <c r="I163" s="456"/>
      <c r="J163" s="456"/>
      <c r="K163" s="456"/>
      <c r="L163" s="456"/>
      <c r="M163" s="456"/>
      <c r="N163" s="456"/>
      <c r="O163" s="456"/>
      <c r="P163" s="456"/>
      <c r="Q163" s="456"/>
      <c r="R163" s="456"/>
      <c r="S163" s="456"/>
      <c r="T163" s="456"/>
      <c r="U163" s="456"/>
      <c r="V163" s="456"/>
      <c r="W163" s="456"/>
      <c r="X163" s="456"/>
      <c r="Y163" s="461">
        <f>'Расчет лесов'!B10</f>
        <v>4</v>
      </c>
      <c r="Z163" s="461"/>
      <c r="AA163" s="461"/>
      <c r="AB163" s="461"/>
      <c r="AC163" s="461"/>
      <c r="AD163" s="461"/>
      <c r="AE163" s="461"/>
      <c r="AF163" s="462">
        <f>'Расчет лесов'!C10</f>
        <v>630</v>
      </c>
      <c r="AG163" s="462"/>
      <c r="AH163" s="462"/>
      <c r="AI163" s="462"/>
      <c r="AJ163" s="462"/>
      <c r="AK163" s="462"/>
      <c r="AL163" s="462"/>
      <c r="AM163" s="463">
        <f t="shared" si="0"/>
        <v>2520</v>
      </c>
      <c r="AN163" s="463"/>
      <c r="AO163" s="463"/>
      <c r="AP163" s="463"/>
      <c r="AQ163" s="463"/>
      <c r="AR163" s="463"/>
      <c r="AS163" s="463"/>
    </row>
    <row r="164" spans="1:45">
      <c r="A164" s="461">
        <v>4</v>
      </c>
      <c r="B164" s="461"/>
      <c r="C164" s="461"/>
      <c r="D164" s="461"/>
      <c r="E164" s="456" t="s">
        <v>127</v>
      </c>
      <c r="F164" s="456"/>
      <c r="G164" s="456"/>
      <c r="H164" s="456"/>
      <c r="I164" s="456"/>
      <c r="J164" s="456"/>
      <c r="K164" s="456"/>
      <c r="L164" s="456"/>
      <c r="M164" s="456"/>
      <c r="N164" s="456"/>
      <c r="O164" s="456"/>
      <c r="P164" s="456"/>
      <c r="Q164" s="456"/>
      <c r="R164" s="456"/>
      <c r="S164" s="456"/>
      <c r="T164" s="456"/>
      <c r="U164" s="456"/>
      <c r="V164" s="456"/>
      <c r="W164" s="456"/>
      <c r="X164" s="456"/>
      <c r="Y164" s="461">
        <f>'Расчет лесов'!B11</f>
        <v>4</v>
      </c>
      <c r="Z164" s="461"/>
      <c r="AA164" s="461"/>
      <c r="AB164" s="461"/>
      <c r="AC164" s="461"/>
      <c r="AD164" s="461"/>
      <c r="AE164" s="461"/>
      <c r="AF164" s="462">
        <f>'Расчет лесов'!C11</f>
        <v>320</v>
      </c>
      <c r="AG164" s="462"/>
      <c r="AH164" s="462"/>
      <c r="AI164" s="462"/>
      <c r="AJ164" s="462"/>
      <c r="AK164" s="462"/>
      <c r="AL164" s="462"/>
      <c r="AM164" s="463">
        <f t="shared" si="0"/>
        <v>1280</v>
      </c>
      <c r="AN164" s="463"/>
      <c r="AO164" s="463"/>
      <c r="AP164" s="463"/>
      <c r="AQ164" s="463"/>
      <c r="AR164" s="463"/>
      <c r="AS164" s="463"/>
    </row>
    <row r="165" spans="1:45">
      <c r="A165" s="461">
        <v>5</v>
      </c>
      <c r="B165" s="461"/>
      <c r="C165" s="461"/>
      <c r="D165" s="461"/>
      <c r="E165" s="456" t="s">
        <v>128</v>
      </c>
      <c r="F165" s="456"/>
      <c r="G165" s="456"/>
      <c r="H165" s="456"/>
      <c r="I165" s="456"/>
      <c r="J165" s="456"/>
      <c r="K165" s="456"/>
      <c r="L165" s="456"/>
      <c r="M165" s="456"/>
      <c r="N165" s="456"/>
      <c r="O165" s="456"/>
      <c r="P165" s="456"/>
      <c r="Q165" s="456"/>
      <c r="R165" s="456"/>
      <c r="S165" s="456"/>
      <c r="T165" s="456"/>
      <c r="U165" s="456"/>
      <c r="V165" s="456"/>
      <c r="W165" s="456"/>
      <c r="X165" s="456"/>
      <c r="Y165" s="461">
        <f>'Расчет лесов'!B12</f>
        <v>12</v>
      </c>
      <c r="Z165" s="461"/>
      <c r="AA165" s="461"/>
      <c r="AB165" s="461"/>
      <c r="AC165" s="461"/>
      <c r="AD165" s="461"/>
      <c r="AE165" s="461"/>
      <c r="AF165" s="462">
        <f>'Расчет лесов'!C12</f>
        <v>450</v>
      </c>
      <c r="AG165" s="462"/>
      <c r="AH165" s="462"/>
      <c r="AI165" s="462"/>
      <c r="AJ165" s="462"/>
      <c r="AK165" s="462"/>
      <c r="AL165" s="462"/>
      <c r="AM165" s="463">
        <f t="shared" si="0"/>
        <v>5400</v>
      </c>
      <c r="AN165" s="463"/>
      <c r="AO165" s="463"/>
      <c r="AP165" s="463"/>
      <c r="AQ165" s="463"/>
      <c r="AR165" s="463"/>
      <c r="AS165" s="463"/>
    </row>
    <row r="166" spans="1:45">
      <c r="A166" s="461">
        <v>6</v>
      </c>
      <c r="B166" s="461"/>
      <c r="C166" s="461"/>
      <c r="D166" s="461"/>
      <c r="E166" s="456" t="s">
        <v>129</v>
      </c>
      <c r="F166" s="456"/>
      <c r="G166" s="456"/>
      <c r="H166" s="456"/>
      <c r="I166" s="456"/>
      <c r="J166" s="456"/>
      <c r="K166" s="456"/>
      <c r="L166" s="456"/>
      <c r="M166" s="456"/>
      <c r="N166" s="456"/>
      <c r="O166" s="456"/>
      <c r="P166" s="456"/>
      <c r="Q166" s="456"/>
      <c r="R166" s="456"/>
      <c r="S166" s="456"/>
      <c r="T166" s="456"/>
      <c r="U166" s="456"/>
      <c r="V166" s="456"/>
      <c r="W166" s="456"/>
      <c r="X166" s="456"/>
      <c r="Y166" s="461">
        <f>'Расчет лесов'!B13</f>
        <v>8</v>
      </c>
      <c r="Z166" s="461"/>
      <c r="AA166" s="461"/>
      <c r="AB166" s="461"/>
      <c r="AC166" s="461"/>
      <c r="AD166" s="461"/>
      <c r="AE166" s="461"/>
      <c r="AF166" s="462">
        <f>'Расчет лесов'!C13</f>
        <v>1120</v>
      </c>
      <c r="AG166" s="462"/>
      <c r="AH166" s="462"/>
      <c r="AI166" s="462"/>
      <c r="AJ166" s="462"/>
      <c r="AK166" s="462"/>
      <c r="AL166" s="462"/>
      <c r="AM166" s="463">
        <f t="shared" si="0"/>
        <v>8960</v>
      </c>
      <c r="AN166" s="463"/>
      <c r="AO166" s="463"/>
      <c r="AP166" s="463"/>
      <c r="AQ166" s="463"/>
      <c r="AR166" s="463"/>
      <c r="AS166" s="463"/>
    </row>
    <row r="167" spans="1:45" ht="31.5" customHeight="1">
      <c r="A167" s="461"/>
      <c r="B167" s="461"/>
      <c r="C167" s="461"/>
      <c r="D167" s="461"/>
      <c r="E167" s="457" t="s">
        <v>130</v>
      </c>
      <c r="F167" s="458"/>
      <c r="G167" s="458"/>
      <c r="H167" s="458"/>
      <c r="I167" s="458"/>
      <c r="J167" s="458"/>
      <c r="K167" s="458"/>
      <c r="L167" s="458"/>
      <c r="M167" s="458"/>
      <c r="N167" s="458"/>
      <c r="O167" s="458"/>
      <c r="P167" s="458"/>
      <c r="Q167" s="458"/>
      <c r="R167" s="458"/>
      <c r="S167" s="458"/>
      <c r="T167" s="458"/>
      <c r="U167" s="458"/>
      <c r="V167" s="458"/>
      <c r="W167" s="458"/>
      <c r="X167" s="458"/>
      <c r="Y167" s="461"/>
      <c r="Z167" s="461"/>
      <c r="AA167" s="461"/>
      <c r="AB167" s="461"/>
      <c r="AC167" s="461"/>
      <c r="AD167" s="461"/>
      <c r="AE167" s="461"/>
      <c r="AF167" s="462"/>
      <c r="AG167" s="462"/>
      <c r="AH167" s="462"/>
      <c r="AI167" s="462"/>
      <c r="AJ167" s="462"/>
      <c r="AK167" s="462"/>
      <c r="AL167" s="462"/>
      <c r="AM167" s="463">
        <f>SUM(AM161:AS166)</f>
        <v>30440</v>
      </c>
      <c r="AN167" s="463"/>
      <c r="AO167" s="463"/>
      <c r="AP167" s="463"/>
      <c r="AQ167" s="463"/>
      <c r="AR167" s="463"/>
      <c r="AS167" s="463"/>
    </row>
    <row r="168" spans="1:45" ht="47.25" customHeight="1">
      <c r="A168" s="461"/>
      <c r="B168" s="461"/>
      <c r="C168" s="461"/>
      <c r="D168" s="461"/>
      <c r="E168" s="457" t="str">
        <f>CONCATENATE("Стоимость залога за оборудование
составляет ",'Расчет лесов'!O7,"% от общей рыночной
стоимости")</f>
        <v>Стоимость залога за оборудование
составляет 10% от общей рыночной
стоимости</v>
      </c>
      <c r="F168" s="458"/>
      <c r="G168" s="458"/>
      <c r="H168" s="458"/>
      <c r="I168" s="458"/>
      <c r="J168" s="458"/>
      <c r="K168" s="458"/>
      <c r="L168" s="458"/>
      <c r="M168" s="458"/>
      <c r="N168" s="458"/>
      <c r="O168" s="458"/>
      <c r="P168" s="458"/>
      <c r="Q168" s="458"/>
      <c r="R168" s="458"/>
      <c r="S168" s="458"/>
      <c r="T168" s="458"/>
      <c r="U168" s="458"/>
      <c r="V168" s="458"/>
      <c r="W168" s="458"/>
      <c r="X168" s="458"/>
      <c r="Y168" s="461"/>
      <c r="Z168" s="461"/>
      <c r="AA168" s="461"/>
      <c r="AB168" s="461"/>
      <c r="AC168" s="461"/>
      <c r="AD168" s="461"/>
      <c r="AE168" s="461"/>
      <c r="AF168" s="462"/>
      <c r="AG168" s="462"/>
      <c r="AH168" s="462"/>
      <c r="AI168" s="462"/>
      <c r="AJ168" s="462"/>
      <c r="AK168" s="462"/>
      <c r="AL168" s="462"/>
      <c r="AM168" s="463">
        <f>'Расчет лесов'!D17</f>
        <v>3100</v>
      </c>
      <c r="AN168" s="463"/>
      <c r="AO168" s="463"/>
      <c r="AP168" s="463"/>
      <c r="AQ168" s="463"/>
      <c r="AR168" s="463"/>
      <c r="AS168" s="463"/>
    </row>
    <row r="169" spans="1:45" ht="47.25" customHeight="1">
      <c r="A169" s="461"/>
      <c r="B169" s="461"/>
      <c r="C169" s="461"/>
      <c r="D169" s="461"/>
      <c r="E169" s="464" t="str">
        <f>CONCATENATE("Стоимость доставки оборудования
до объекта Арендатора (",AW13,")")</f>
        <v>Стоимость доставки оборудования
до объекта Арендатора ()</v>
      </c>
      <c r="F169" s="465"/>
      <c r="G169" s="465"/>
      <c r="H169" s="465"/>
      <c r="I169" s="465"/>
      <c r="J169" s="465"/>
      <c r="K169" s="465"/>
      <c r="L169" s="465"/>
      <c r="M169" s="465"/>
      <c r="N169" s="465"/>
      <c r="O169" s="465"/>
      <c r="P169" s="465"/>
      <c r="Q169" s="465"/>
      <c r="R169" s="465"/>
      <c r="S169" s="465"/>
      <c r="T169" s="465"/>
      <c r="U169" s="465"/>
      <c r="V169" s="465"/>
      <c r="W169" s="465"/>
      <c r="X169" s="465"/>
      <c r="Y169" s="461"/>
      <c r="Z169" s="461"/>
      <c r="AA169" s="461"/>
      <c r="AB169" s="461"/>
      <c r="AC169" s="461"/>
      <c r="AD169" s="461"/>
      <c r="AE169" s="461"/>
      <c r="AF169" s="462"/>
      <c r="AG169" s="462"/>
      <c r="AH169" s="462"/>
      <c r="AI169" s="462"/>
      <c r="AJ169" s="462"/>
      <c r="AK169" s="462"/>
      <c r="AL169" s="462"/>
      <c r="AM169" s="463">
        <f>'Расчет лесов'!O2</f>
        <v>0</v>
      </c>
      <c r="AN169" s="463"/>
      <c r="AO169" s="463"/>
      <c r="AP169" s="463"/>
      <c r="AQ169" s="463"/>
      <c r="AR169" s="463"/>
      <c r="AS169" s="463"/>
    </row>
    <row r="170" spans="1:45" ht="47.25" customHeight="1">
      <c r="A170" s="461"/>
      <c r="B170" s="461"/>
      <c r="C170" s="461"/>
      <c r="D170" s="461"/>
      <c r="E170" s="464" t="str">
        <f>CONCATENATE("Стоимость вывоза оборудования
до объекта Арендатора (",AW13,")")</f>
        <v>Стоимость вывоза оборудования
до объекта Арендатора ()</v>
      </c>
      <c r="F170" s="465"/>
      <c r="G170" s="465"/>
      <c r="H170" s="465"/>
      <c r="I170" s="465"/>
      <c r="J170" s="465"/>
      <c r="K170" s="465"/>
      <c r="L170" s="465"/>
      <c r="M170" s="465"/>
      <c r="N170" s="465"/>
      <c r="O170" s="465"/>
      <c r="P170" s="465"/>
      <c r="Q170" s="465"/>
      <c r="R170" s="465"/>
      <c r="S170" s="465"/>
      <c r="T170" s="465"/>
      <c r="U170" s="465"/>
      <c r="V170" s="465"/>
      <c r="W170" s="465"/>
      <c r="X170" s="465"/>
      <c r="Y170" s="461"/>
      <c r="Z170" s="461"/>
      <c r="AA170" s="461"/>
      <c r="AB170" s="461"/>
      <c r="AC170" s="461"/>
      <c r="AD170" s="461"/>
      <c r="AE170" s="461"/>
      <c r="AF170" s="462"/>
      <c r="AG170" s="462"/>
      <c r="AH170" s="462"/>
      <c r="AI170" s="462"/>
      <c r="AJ170" s="462"/>
      <c r="AK170" s="462"/>
      <c r="AL170" s="462"/>
      <c r="AM170" s="463">
        <f>'Расчет лесов'!O2</f>
        <v>0</v>
      </c>
      <c r="AN170" s="463"/>
      <c r="AO170" s="463"/>
      <c r="AP170" s="463"/>
      <c r="AQ170" s="463"/>
      <c r="AR170" s="463"/>
      <c r="AS170" s="463"/>
    </row>
    <row r="171" spans="1:45" ht="43.5" customHeight="1">
      <c r="A171" s="461"/>
      <c r="B171" s="461"/>
      <c r="C171" s="461"/>
      <c r="D171" s="461"/>
      <c r="E171" s="464" t="str">
        <f>CONCATENATE("Стоимость аренды оборудования
за ",BL3," суток согласно п. 3.1 договора")</f>
        <v>Стоимость аренды оборудования
за 30 суток согласно п. 3.1 договора</v>
      </c>
      <c r="F171" s="465"/>
      <c r="G171" s="465"/>
      <c r="H171" s="465"/>
      <c r="I171" s="465"/>
      <c r="J171" s="465"/>
      <c r="K171" s="465"/>
      <c r="L171" s="465"/>
      <c r="M171" s="465"/>
      <c r="N171" s="465"/>
      <c r="O171" s="465"/>
      <c r="P171" s="465"/>
      <c r="Q171" s="465"/>
      <c r="R171" s="465"/>
      <c r="S171" s="465"/>
      <c r="T171" s="465"/>
      <c r="U171" s="465"/>
      <c r="V171" s="465"/>
      <c r="W171" s="465"/>
      <c r="X171" s="465"/>
      <c r="Y171" s="461"/>
      <c r="Z171" s="461"/>
      <c r="AA171" s="461"/>
      <c r="AB171" s="461"/>
      <c r="AC171" s="461"/>
      <c r="AD171" s="461"/>
      <c r="AE171" s="461"/>
      <c r="AF171" s="462"/>
      <c r="AG171" s="462"/>
      <c r="AH171" s="462"/>
      <c r="AI171" s="462"/>
      <c r="AJ171" s="462"/>
      <c r="AK171" s="462"/>
      <c r="AL171" s="462"/>
      <c r="AM171" s="463">
        <f>'Расчет лесов'!D22</f>
        <v>6300</v>
      </c>
      <c r="AN171" s="463"/>
      <c r="AO171" s="463"/>
      <c r="AP171" s="463"/>
      <c r="AQ171" s="463"/>
      <c r="AR171" s="463"/>
      <c r="AS171" s="463"/>
    </row>
    <row r="172" spans="1:45">
      <c r="A172" s="461"/>
      <c r="B172" s="461"/>
      <c r="C172" s="461"/>
      <c r="D172" s="461"/>
      <c r="E172" s="466" t="s">
        <v>132</v>
      </c>
      <c r="F172" s="466"/>
      <c r="G172" s="466"/>
      <c r="H172" s="466"/>
      <c r="I172" s="466"/>
      <c r="J172" s="466"/>
      <c r="K172" s="466"/>
      <c r="L172" s="466"/>
      <c r="M172" s="466"/>
      <c r="N172" s="466"/>
      <c r="O172" s="466"/>
      <c r="P172" s="466"/>
      <c r="Q172" s="466"/>
      <c r="R172" s="466"/>
      <c r="S172" s="466"/>
      <c r="T172" s="466"/>
      <c r="U172" s="466"/>
      <c r="V172" s="466"/>
      <c r="W172" s="466"/>
      <c r="X172" s="466"/>
      <c r="Y172" s="461"/>
      <c r="Z172" s="461"/>
      <c r="AA172" s="461"/>
      <c r="AB172" s="461"/>
      <c r="AC172" s="461"/>
      <c r="AD172" s="461"/>
      <c r="AE172" s="461"/>
      <c r="AF172" s="462"/>
      <c r="AG172" s="462"/>
      <c r="AH172" s="462"/>
      <c r="AI172" s="462"/>
      <c r="AJ172" s="462"/>
      <c r="AK172" s="462"/>
      <c r="AL172" s="462"/>
      <c r="AM172" s="463">
        <f>AM168+AM169+AM170+AM171</f>
        <v>9400</v>
      </c>
      <c r="AN172" s="463"/>
      <c r="AO172" s="463"/>
      <c r="AP172" s="463"/>
      <c r="AQ172" s="463"/>
      <c r="AR172" s="463"/>
      <c r="AS172" s="463"/>
    </row>
    <row r="174" spans="1:45" ht="29.25" customHeight="1">
      <c r="A174" s="454" t="s">
        <v>192</v>
      </c>
      <c r="B174" s="454"/>
      <c r="C174" s="454"/>
      <c r="D174" s="454"/>
      <c r="E174" s="454"/>
      <c r="F174" s="454"/>
      <c r="G174" s="454"/>
      <c r="H174" s="454"/>
      <c r="I174" s="454"/>
      <c r="J174" s="454"/>
      <c r="K174" s="454"/>
      <c r="L174" s="454"/>
      <c r="M174" s="454"/>
      <c r="N174" s="454"/>
      <c r="O174" s="454"/>
      <c r="P174" s="454"/>
      <c r="Q174" s="454"/>
      <c r="R174" s="454"/>
      <c r="S174" s="454"/>
      <c r="T174" s="454"/>
      <c r="U174" s="454"/>
      <c r="V174" s="454"/>
      <c r="W174" s="454"/>
      <c r="X174" s="454"/>
      <c r="Y174" s="454"/>
      <c r="Z174" s="454"/>
      <c r="AA174" s="454"/>
      <c r="AB174" s="454"/>
      <c r="AC174" s="454"/>
      <c r="AD174" s="454"/>
      <c r="AE174" s="454"/>
      <c r="AF174" s="454"/>
      <c r="AG174" s="454"/>
      <c r="AH174" s="454"/>
      <c r="AI174" s="454"/>
      <c r="AJ174" s="454"/>
      <c r="AK174" s="454"/>
      <c r="AL174" s="454"/>
      <c r="AM174" s="454"/>
      <c r="AN174" s="454"/>
      <c r="AO174" s="454"/>
      <c r="AP174" s="454"/>
      <c r="AQ174" s="454"/>
      <c r="AR174" s="454"/>
      <c r="AS174" s="454"/>
    </row>
    <row r="175" spans="1:45">
      <c r="A175" s="92" t="s">
        <v>137</v>
      </c>
    </row>
    <row r="177" spans="1:1">
      <c r="A177" s="88" t="s">
        <v>133</v>
      </c>
    </row>
    <row r="179" spans="1:1">
      <c r="A179" s="88" t="s">
        <v>205</v>
      </c>
    </row>
    <row r="181" spans="1:1">
      <c r="A181" s="88" t="s">
        <v>134</v>
      </c>
    </row>
    <row r="183" spans="1:1">
      <c r="A183" s="94" t="s">
        <v>135</v>
      </c>
    </row>
    <row r="184" spans="1:1">
      <c r="A184" s="94" t="s">
        <v>136</v>
      </c>
    </row>
  </sheetData>
  <mergeCells count="93">
    <mergeCell ref="BK2:BL2"/>
    <mergeCell ref="A100:AS100"/>
    <mergeCell ref="A108:AS108"/>
    <mergeCell ref="A116:AS116"/>
    <mergeCell ref="A124:AS124"/>
    <mergeCell ref="A2:AS2"/>
    <mergeCell ref="A3:AS3"/>
    <mergeCell ref="A17:AS17"/>
    <mergeCell ref="A25:AS25"/>
    <mergeCell ref="A47:AS47"/>
    <mergeCell ref="A57:AS57"/>
    <mergeCell ref="A79:AS79"/>
    <mergeCell ref="A93:AS93"/>
    <mergeCell ref="A19:AS21"/>
    <mergeCell ref="A27:AS45"/>
    <mergeCell ref="A8:AS10"/>
    <mergeCell ref="Y171:AE171"/>
    <mergeCell ref="Y172:AE172"/>
    <mergeCell ref="AF171:AL171"/>
    <mergeCell ref="AF172:AL172"/>
    <mergeCell ref="AM171:AS171"/>
    <mergeCell ref="AM172:AS172"/>
    <mergeCell ref="A171:D171"/>
    <mergeCell ref="E169:X169"/>
    <mergeCell ref="E170:X170"/>
    <mergeCell ref="E171:X171"/>
    <mergeCell ref="E172:X172"/>
    <mergeCell ref="A172:D172"/>
    <mergeCell ref="Y170:AE170"/>
    <mergeCell ref="AF169:AL169"/>
    <mergeCell ref="AF170:AL170"/>
    <mergeCell ref="AM170:AS170"/>
    <mergeCell ref="A168:D168"/>
    <mergeCell ref="A169:D169"/>
    <mergeCell ref="A170:D170"/>
    <mergeCell ref="AM168:AS168"/>
    <mergeCell ref="AM169:AS169"/>
    <mergeCell ref="E168:X168"/>
    <mergeCell ref="Y168:AE168"/>
    <mergeCell ref="Y169:AE169"/>
    <mergeCell ref="AF168:AL168"/>
    <mergeCell ref="Y167:AE167"/>
    <mergeCell ref="AF161:AL161"/>
    <mergeCell ref="AM161:AS161"/>
    <mergeCell ref="AF162:AL162"/>
    <mergeCell ref="AF163:AL163"/>
    <mergeCell ref="AF164:AL164"/>
    <mergeCell ref="AF165:AL165"/>
    <mergeCell ref="AM162:AS162"/>
    <mergeCell ref="AM163:AS163"/>
    <mergeCell ref="AM164:AS164"/>
    <mergeCell ref="AM165:AS165"/>
    <mergeCell ref="AM166:AS166"/>
    <mergeCell ref="AM167:AS167"/>
    <mergeCell ref="AF166:AL166"/>
    <mergeCell ref="AF167:AL167"/>
    <mergeCell ref="A164:D164"/>
    <mergeCell ref="A165:D165"/>
    <mergeCell ref="A166:D166"/>
    <mergeCell ref="Y161:AE161"/>
    <mergeCell ref="Y162:AE162"/>
    <mergeCell ref="Y163:AE163"/>
    <mergeCell ref="Y164:AE164"/>
    <mergeCell ref="E165:X165"/>
    <mergeCell ref="Y165:AE165"/>
    <mergeCell ref="E161:X161"/>
    <mergeCell ref="E162:X162"/>
    <mergeCell ref="E163:X163"/>
    <mergeCell ref="E164:X164"/>
    <mergeCell ref="Y166:AE166"/>
    <mergeCell ref="B127:AS128"/>
    <mergeCell ref="C157:AT157"/>
    <mergeCell ref="A158:AS158"/>
    <mergeCell ref="A174:AS174"/>
    <mergeCell ref="A23:AS23"/>
    <mergeCell ref="E166:X166"/>
    <mergeCell ref="E167:X167"/>
    <mergeCell ref="A160:D160"/>
    <mergeCell ref="AM160:AS160"/>
    <mergeCell ref="AF160:AL160"/>
    <mergeCell ref="Y160:AE160"/>
    <mergeCell ref="E160:X160"/>
    <mergeCell ref="A167:D167"/>
    <mergeCell ref="A161:D161"/>
    <mergeCell ref="A162:D162"/>
    <mergeCell ref="A163:D163"/>
    <mergeCell ref="A110:AS114"/>
    <mergeCell ref="A118:AS122"/>
    <mergeCell ref="A51:AS55"/>
    <mergeCell ref="A59:AS77"/>
    <mergeCell ref="A81:AS91"/>
    <mergeCell ref="A95:AS98"/>
    <mergeCell ref="A102:AS106"/>
  </mergeCells>
  <pageMargins left="0.70866141732283472" right="0.39370078740157483" top="0.39370078740157483" bottom="0.39370078740157483" header="0.19685039370078741" footer="0.19685039370078741"/>
  <pageSetup paperSize="9" scale="95" orientation="portrait" r:id="rId1"/>
  <rowBreaks count="3" manualBreakCount="3">
    <brk id="46" max="44" man="1"/>
    <brk id="96" max="44" man="1"/>
    <brk id="150" max="44" man="1"/>
  </rowBreaks>
</worksheet>
</file>

<file path=xl/worksheets/sheet4.xml><?xml version="1.0" encoding="utf-8"?>
<worksheet xmlns="http://schemas.openxmlformats.org/spreadsheetml/2006/main" xmlns:r="http://schemas.openxmlformats.org/officeDocument/2006/relationships">
  <sheetPr codeName="Лист5"/>
  <dimension ref="A1:BL216"/>
  <sheetViews>
    <sheetView topLeftCell="A83" workbookViewId="0">
      <selection activeCell="AV200" sqref="AV200"/>
    </sheetView>
  </sheetViews>
  <sheetFormatPr defaultColWidth="2" defaultRowHeight="15.75"/>
  <cols>
    <col min="1" max="3" width="2" style="93" customWidth="1"/>
    <col min="4" max="6" width="2" style="93"/>
    <col min="7" max="7" width="2.28515625" style="93" bestFit="1" customWidth="1"/>
    <col min="8" max="35" width="2" style="93"/>
    <col min="36" max="36" width="2" style="93" customWidth="1"/>
    <col min="37" max="45" width="2" style="93"/>
    <col min="46" max="46" width="1.5703125" style="93" customWidth="1"/>
    <col min="47" max="47" width="19.5703125" style="93" customWidth="1"/>
    <col min="48" max="48" width="18.42578125" style="93" customWidth="1"/>
    <col min="49" max="49" width="44.28515625" style="93" bestFit="1" customWidth="1"/>
    <col min="50" max="54" width="2" style="93"/>
    <col min="55" max="55" width="1.28515625" style="93" customWidth="1"/>
    <col min="56" max="62" width="2" style="93" hidden="1" customWidth="1"/>
    <col min="63" max="63" width="17.5703125" style="93" customWidth="1"/>
    <col min="64" max="64" width="21" style="93" customWidth="1"/>
    <col min="65" max="16384" width="2" style="93"/>
  </cols>
  <sheetData>
    <row r="1" spans="1:64" ht="15" hidden="1" customHeight="1">
      <c r="A1" s="93">
        <f>'Вышки туры'!B5</f>
        <v>156</v>
      </c>
    </row>
    <row r="2" spans="1:64">
      <c r="A2" s="468" t="str">
        <f>CONCATENATE("ДОГОВОР №",AW2)</f>
        <v>ДОГОВОР №14/06-А(16)</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V2" s="93" t="s">
        <v>90</v>
      </c>
      <c r="AW2" s="140" t="s">
        <v>265</v>
      </c>
      <c r="BK2" s="467" t="s">
        <v>139</v>
      </c>
      <c r="BL2" s="467"/>
    </row>
    <row r="3" spans="1:64">
      <c r="A3" s="468" t="s">
        <v>206</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V3" s="93" t="s">
        <v>91</v>
      </c>
      <c r="AW3" s="141" t="s">
        <v>266</v>
      </c>
      <c r="BK3" s="93" t="s">
        <v>138</v>
      </c>
      <c r="BL3" s="93">
        <f>'Вышки туры'!G2</f>
        <v>30</v>
      </c>
    </row>
    <row r="4" spans="1:64">
      <c r="AV4" s="98" t="s">
        <v>93</v>
      </c>
      <c r="AW4" s="98" t="s">
        <v>198</v>
      </c>
    </row>
    <row r="5" spans="1:64">
      <c r="B5" s="94" t="s">
        <v>92</v>
      </c>
      <c r="AK5" s="93" t="str">
        <f>AW3</f>
        <v>"14" июня 2016 г.</v>
      </c>
      <c r="AV5" s="98" t="s">
        <v>94</v>
      </c>
      <c r="AW5" s="98" t="s">
        <v>199</v>
      </c>
    </row>
    <row r="6" spans="1:64">
      <c r="AV6" s="98" t="s">
        <v>95</v>
      </c>
      <c r="AW6" s="98" t="s">
        <v>198</v>
      </c>
    </row>
    <row r="7" spans="1:64">
      <c r="C7" s="94" t="s">
        <v>197</v>
      </c>
      <c r="AV7" s="98" t="s">
        <v>96</v>
      </c>
      <c r="AW7" s="99" t="s">
        <v>200</v>
      </c>
    </row>
    <row r="8" spans="1:64">
      <c r="A8" s="452" t="s">
        <v>196</v>
      </c>
      <c r="B8" s="452"/>
      <c r="C8" s="452"/>
      <c r="D8" s="452"/>
      <c r="E8" s="452"/>
      <c r="F8" s="452"/>
      <c r="G8" s="452"/>
      <c r="H8" s="452"/>
      <c r="I8" s="452"/>
      <c r="J8" s="452"/>
      <c r="K8" s="452"/>
      <c r="L8" s="452"/>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2"/>
      <c r="AM8" s="452"/>
      <c r="AN8" s="452"/>
      <c r="AO8" s="452"/>
      <c r="AP8" s="452"/>
      <c r="AQ8" s="452"/>
      <c r="AR8" s="452"/>
      <c r="AS8" s="452"/>
      <c r="AV8" s="98" t="s">
        <v>97</v>
      </c>
      <c r="AW8" s="98" t="s">
        <v>204</v>
      </c>
    </row>
    <row r="9" spans="1:64">
      <c r="A9" s="452"/>
      <c r="B9" s="452"/>
      <c r="C9" s="452"/>
      <c r="D9" s="452"/>
      <c r="E9" s="452"/>
      <c r="F9" s="452"/>
      <c r="G9" s="452"/>
      <c r="H9" s="452"/>
      <c r="I9" s="452"/>
      <c r="J9" s="452"/>
      <c r="K9" s="452"/>
      <c r="L9" s="452"/>
      <c r="M9" s="452"/>
      <c r="N9" s="452"/>
      <c r="O9" s="452"/>
      <c r="P9" s="452"/>
      <c r="Q9" s="452"/>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V9" s="98" t="s">
        <v>98</v>
      </c>
      <c r="AW9" s="98" t="s">
        <v>203</v>
      </c>
    </row>
    <row r="10" spans="1:64">
      <c r="A10" s="452"/>
      <c r="B10" s="452"/>
      <c r="C10" s="452"/>
      <c r="D10" s="452"/>
      <c r="E10" s="452"/>
      <c r="F10" s="452"/>
      <c r="G10" s="452"/>
      <c r="H10" s="452"/>
      <c r="I10" s="452"/>
      <c r="J10" s="452"/>
      <c r="K10" s="452"/>
      <c r="L10" s="452"/>
      <c r="M10" s="452"/>
      <c r="N10" s="452"/>
      <c r="O10" s="452"/>
      <c r="P10" s="452"/>
      <c r="Q10" s="452"/>
      <c r="R10" s="452"/>
      <c r="S10" s="452"/>
      <c r="T10" s="452"/>
      <c r="U10" s="452"/>
      <c r="V10" s="452"/>
      <c r="W10" s="452"/>
      <c r="X10" s="452"/>
      <c r="Y10" s="452"/>
      <c r="Z10" s="452"/>
      <c r="AA10" s="452"/>
      <c r="AB10" s="452"/>
      <c r="AC10" s="452"/>
      <c r="AD10" s="452"/>
      <c r="AE10" s="452"/>
      <c r="AF10" s="452"/>
      <c r="AG10" s="452"/>
      <c r="AH10" s="452"/>
      <c r="AI10" s="452"/>
      <c r="AJ10" s="452"/>
      <c r="AK10" s="452"/>
      <c r="AL10" s="452"/>
      <c r="AM10" s="452"/>
      <c r="AN10" s="452"/>
      <c r="AO10" s="452"/>
      <c r="AP10" s="452"/>
      <c r="AQ10" s="452"/>
      <c r="AR10" s="452"/>
      <c r="AS10" s="452"/>
    </row>
    <row r="11" spans="1:64">
      <c r="C11" s="94" t="s">
        <v>195</v>
      </c>
      <c r="J11" s="93" t="s">
        <v>267</v>
      </c>
      <c r="AV11" s="93" t="s">
        <v>104</v>
      </c>
      <c r="AW11" s="127" t="str">
        <f>SUBSTITUTE(PROPER(INDEX(n_4,MID(TEXT(A1,n0),1,1)+1)&amp;INDEX(n0x,MID(TEXT(A1,n0),2,1)+1,MID(TEXT(A1,n0),3,1)+1)&amp;IF(-MID(TEXT(A1,n0),1,3),"миллиард"&amp;VLOOKUP(MID(TEXT(A1,n0),3,1)*AND(MID(TEXT(A1,n0),2,1)-1),мил,2),"")&amp;INDEX(n_4,MID(TEXT(A1,n0),4,1)+1)&amp;INDEX(n0x,MID(TEXT(A1,n0),5,1)+1,MID(TEXT(A1,n0),6,1)+1)&amp;IF(-MID(TEXT(A1,n0),4,3),"миллион"&amp;VLOOKUP(MID(TEXT(A1,n0),6,1)*AND(MID(TEXT(A1,n0),5,1)-1),мил,2),"")&amp;INDEX(n_4,MID(TEXT(A1,n0),7,1)+1)&amp;INDEX(n1x,MID(TEXT(A1,n0),8,1)+1,MID(TEXT(A1,n0),9,1)+1)&amp;IF(-MID(TEXT(A1,n0),7,3),VLOOKUP(MID(TEXT(A1,n0),9,1)*AND(MID(TEXT(A1,n0),8,1)-1),тыс,2),"")&amp;INDEX(n_4,MID(TEXT(A1,n0),10,1)+1)&amp;INDEX(n0x,MID(TEXT(A1,n0),11,1)+1,MID(TEXT(A1,n0),12,1)+1)),"z"," ")&amp;IF(TRUNC(TEXT(A1,n0)),"","Ноль ")&amp;"рубл"&amp;VLOOKUP(MOD(MAX(MOD(MID(TEXT(A1,n0),11,2)-11,100),9),10),{0,"ь ";1,"я ";4,"ей "},2)&amp;RIGHT(TEXT(A1,n0),2)&amp;" копе"&amp;VLOOKUP(MOD(MAX(MOD(RIGHT(TEXT(A1,n0),2)-11,100),9),10),{0,"йка";1,"йки";4,"ек"},2)</f>
        <v>Сто пятьдесят шесть рублей 00 копеек</v>
      </c>
    </row>
    <row r="12" spans="1:64">
      <c r="A12" s="94" t="s">
        <v>268</v>
      </c>
      <c r="V12" s="128"/>
      <c r="AV12" s="93" t="s">
        <v>114</v>
      </c>
      <c r="AW12" s="93" t="s">
        <v>202</v>
      </c>
    </row>
    <row r="13" spans="1:64">
      <c r="A13" s="94" t="s">
        <v>269</v>
      </c>
      <c r="V13" s="93" t="s">
        <v>270</v>
      </c>
      <c r="AV13" s="93" t="s">
        <v>131</v>
      </c>
      <c r="AW13" s="96" t="s">
        <v>264</v>
      </c>
    </row>
    <row r="14" spans="1:64">
      <c r="A14" s="94" t="s">
        <v>271</v>
      </c>
    </row>
    <row r="15" spans="1:64">
      <c r="A15" s="93" t="s">
        <v>272</v>
      </c>
    </row>
    <row r="17" spans="1:45">
      <c r="A17" s="468" t="s">
        <v>99</v>
      </c>
      <c r="B17" s="468"/>
      <c r="C17" s="468"/>
      <c r="D17" s="468"/>
      <c r="E17" s="468"/>
      <c r="F17" s="468"/>
      <c r="G17" s="468"/>
      <c r="H17" s="468"/>
      <c r="I17" s="468"/>
      <c r="J17" s="468"/>
      <c r="K17" s="468"/>
      <c r="L17" s="468"/>
      <c r="M17" s="468"/>
      <c r="N17" s="468"/>
      <c r="O17" s="468"/>
      <c r="P17" s="468"/>
      <c r="Q17" s="468"/>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row>
    <row r="19" spans="1:45">
      <c r="A19" s="455" t="s">
        <v>225</v>
      </c>
      <c r="B19" s="455"/>
      <c r="C19" s="455"/>
      <c r="D19" s="455"/>
      <c r="E19" s="455"/>
      <c r="F19" s="455"/>
      <c r="G19" s="455"/>
      <c r="H19" s="455"/>
      <c r="I19" s="455"/>
      <c r="J19" s="455"/>
      <c r="K19" s="455"/>
      <c r="L19" s="455"/>
      <c r="M19" s="455"/>
      <c r="N19" s="455"/>
      <c r="O19" s="455"/>
      <c r="P19" s="455"/>
      <c r="Q19" s="455"/>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row>
    <row r="20" spans="1:45">
      <c r="A20" s="455"/>
      <c r="B20" s="455"/>
      <c r="C20" s="455"/>
      <c r="D20" s="455"/>
      <c r="E20" s="455"/>
      <c r="F20" s="455"/>
      <c r="G20" s="455"/>
      <c r="H20" s="455"/>
      <c r="I20" s="455"/>
      <c r="J20" s="455"/>
      <c r="K20" s="455"/>
      <c r="L20" s="455"/>
      <c r="M20" s="455"/>
      <c r="N20" s="455"/>
      <c r="O20" s="455"/>
      <c r="P20" s="455"/>
      <c r="Q20" s="455"/>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row>
    <row r="21" spans="1:45">
      <c r="A21" s="455"/>
      <c r="B21" s="455"/>
      <c r="C21" s="455"/>
      <c r="D21" s="455"/>
      <c r="E21" s="455"/>
      <c r="F21" s="455"/>
      <c r="G21" s="455"/>
      <c r="H21" s="455"/>
      <c r="I21" s="455"/>
      <c r="J21" s="455"/>
      <c r="K21" s="455"/>
      <c r="L21" s="455"/>
      <c r="M21" s="455"/>
      <c r="N21" s="455"/>
      <c r="O21" s="455"/>
      <c r="P21" s="455"/>
      <c r="Q21" s="455"/>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row>
    <row r="22" spans="1:45">
      <c r="A22" s="94" t="s">
        <v>100</v>
      </c>
    </row>
    <row r="23" spans="1:45" ht="32.25" customHeight="1">
      <c r="A23" s="455" t="s">
        <v>193</v>
      </c>
      <c r="B23" s="455"/>
      <c r="C23" s="455"/>
      <c r="D23" s="455"/>
      <c r="E23" s="455"/>
      <c r="F23" s="455"/>
      <c r="G23" s="455"/>
      <c r="H23" s="455"/>
      <c r="I23" s="455"/>
      <c r="J23" s="455"/>
      <c r="K23" s="455"/>
      <c r="L23" s="455"/>
      <c r="M23" s="455"/>
      <c r="N23" s="455"/>
      <c r="O23" s="455"/>
      <c r="P23" s="455"/>
      <c r="Q23" s="455"/>
      <c r="R23" s="455"/>
      <c r="S23" s="455"/>
      <c r="T23" s="455"/>
      <c r="U23" s="455"/>
      <c r="V23" s="455"/>
      <c r="W23" s="455"/>
      <c r="X23" s="455"/>
      <c r="Y23" s="455"/>
      <c r="Z23" s="455"/>
      <c r="AA23" s="455"/>
      <c r="AB23" s="455"/>
      <c r="AC23" s="455"/>
      <c r="AD23" s="455"/>
      <c r="AE23" s="455"/>
      <c r="AF23" s="455"/>
      <c r="AG23" s="455"/>
      <c r="AH23" s="455"/>
      <c r="AI23" s="455"/>
      <c r="AJ23" s="455"/>
      <c r="AK23" s="455"/>
      <c r="AL23" s="455"/>
      <c r="AM23" s="455"/>
      <c r="AN23" s="455"/>
      <c r="AO23" s="455"/>
      <c r="AP23" s="455"/>
      <c r="AQ23" s="455"/>
      <c r="AR23" s="455"/>
      <c r="AS23" s="455"/>
    </row>
    <row r="25" spans="1:45">
      <c r="A25" s="468" t="s">
        <v>101</v>
      </c>
      <c r="B25" s="468"/>
      <c r="C25" s="468"/>
      <c r="D25" s="468"/>
      <c r="E25" s="468"/>
      <c r="F25" s="468"/>
      <c r="G25" s="468"/>
      <c r="H25" s="468"/>
      <c r="I25" s="468"/>
      <c r="J25" s="468"/>
      <c r="K25" s="468"/>
      <c r="L25" s="468"/>
      <c r="M25" s="468"/>
      <c r="N25" s="468"/>
      <c r="O25" s="468"/>
      <c r="P25" s="468"/>
      <c r="Q25" s="468"/>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row>
    <row r="27" spans="1:45">
      <c r="A27" s="469" t="s">
        <v>256</v>
      </c>
      <c r="B27" s="470"/>
      <c r="C27" s="470"/>
      <c r="D27" s="470"/>
      <c r="E27" s="470"/>
      <c r="F27" s="470"/>
      <c r="G27" s="470"/>
      <c r="H27" s="470"/>
      <c r="I27" s="470"/>
      <c r="J27" s="470"/>
      <c r="K27" s="470"/>
      <c r="L27" s="470"/>
      <c r="M27" s="470"/>
      <c r="N27" s="470"/>
      <c r="O27" s="470"/>
      <c r="P27" s="470"/>
      <c r="Q27" s="470"/>
      <c r="R27" s="470"/>
      <c r="S27" s="470"/>
      <c r="T27" s="470"/>
      <c r="U27" s="470"/>
      <c r="V27" s="470"/>
      <c r="W27" s="470"/>
      <c r="X27" s="470"/>
      <c r="Y27" s="470"/>
      <c r="Z27" s="470"/>
      <c r="AA27" s="470"/>
      <c r="AB27" s="470"/>
      <c r="AC27" s="470"/>
      <c r="AD27" s="470"/>
      <c r="AE27" s="470"/>
      <c r="AF27" s="470"/>
      <c r="AG27" s="470"/>
      <c r="AH27" s="470"/>
      <c r="AI27" s="470"/>
      <c r="AJ27" s="470"/>
      <c r="AK27" s="470"/>
      <c r="AL27" s="470"/>
      <c r="AM27" s="470"/>
      <c r="AN27" s="470"/>
      <c r="AO27" s="470"/>
      <c r="AP27" s="470"/>
      <c r="AQ27" s="470"/>
      <c r="AR27" s="470"/>
      <c r="AS27" s="470"/>
    </row>
    <row r="28" spans="1:45">
      <c r="A28" s="470"/>
      <c r="B28" s="470"/>
      <c r="C28" s="470"/>
      <c r="D28" s="470"/>
      <c r="E28" s="470"/>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row>
    <row r="29" spans="1:45">
      <c r="A29" s="470"/>
      <c r="B29" s="470"/>
      <c r="C29" s="470"/>
      <c r="D29" s="470"/>
      <c r="E29" s="470"/>
      <c r="F29" s="470"/>
      <c r="G29" s="470"/>
      <c r="H29" s="470"/>
      <c r="I29" s="470"/>
      <c r="J29" s="470"/>
      <c r="K29" s="470"/>
      <c r="L29" s="470"/>
      <c r="M29" s="470"/>
      <c r="N29" s="470"/>
      <c r="O29" s="470"/>
      <c r="P29" s="470"/>
      <c r="Q29" s="470"/>
      <c r="R29" s="470"/>
      <c r="S29" s="470"/>
      <c r="T29" s="470"/>
      <c r="U29" s="470"/>
      <c r="V29" s="470"/>
      <c r="W29" s="470"/>
      <c r="X29" s="470"/>
      <c r="Y29" s="470"/>
      <c r="Z29" s="470"/>
      <c r="AA29" s="470"/>
      <c r="AB29" s="470"/>
      <c r="AC29" s="470"/>
      <c r="AD29" s="470"/>
      <c r="AE29" s="470"/>
      <c r="AF29" s="470"/>
      <c r="AG29" s="470"/>
      <c r="AH29" s="470"/>
      <c r="AI29" s="470"/>
      <c r="AJ29" s="470"/>
      <c r="AK29" s="470"/>
      <c r="AL29" s="470"/>
      <c r="AM29" s="470"/>
      <c r="AN29" s="470"/>
      <c r="AO29" s="470"/>
      <c r="AP29" s="470"/>
      <c r="AQ29" s="470"/>
      <c r="AR29" s="470"/>
      <c r="AS29" s="470"/>
    </row>
    <row r="30" spans="1:45">
      <c r="A30" s="470"/>
      <c r="B30" s="470"/>
      <c r="C30" s="470"/>
      <c r="D30" s="470"/>
      <c r="E30" s="470"/>
      <c r="F30" s="470"/>
      <c r="G30" s="470"/>
      <c r="H30" s="470"/>
      <c r="I30" s="470"/>
      <c r="J30" s="470"/>
      <c r="K30" s="470"/>
      <c r="L30" s="470"/>
      <c r="M30" s="470"/>
      <c r="N30" s="470"/>
      <c r="O30" s="470"/>
      <c r="P30" s="470"/>
      <c r="Q30" s="470"/>
      <c r="R30" s="470"/>
      <c r="S30" s="470"/>
      <c r="T30" s="470"/>
      <c r="U30" s="470"/>
      <c r="V30" s="470"/>
      <c r="W30" s="470"/>
      <c r="X30" s="470"/>
      <c r="Y30" s="470"/>
      <c r="Z30" s="470"/>
      <c r="AA30" s="470"/>
      <c r="AB30" s="470"/>
      <c r="AC30" s="470"/>
      <c r="AD30" s="470"/>
      <c r="AE30" s="470"/>
      <c r="AF30" s="470"/>
      <c r="AG30" s="470"/>
      <c r="AH30" s="470"/>
      <c r="AI30" s="470"/>
      <c r="AJ30" s="470"/>
      <c r="AK30" s="470"/>
      <c r="AL30" s="470"/>
      <c r="AM30" s="470"/>
      <c r="AN30" s="470"/>
      <c r="AO30" s="470"/>
      <c r="AP30" s="470"/>
      <c r="AQ30" s="470"/>
      <c r="AR30" s="470"/>
      <c r="AS30" s="470"/>
    </row>
    <row r="31" spans="1:45">
      <c r="A31" s="470"/>
      <c r="B31" s="470"/>
      <c r="C31" s="470"/>
      <c r="D31" s="470"/>
      <c r="E31" s="470"/>
      <c r="F31" s="470"/>
      <c r="G31" s="470"/>
      <c r="H31" s="470"/>
      <c r="I31" s="470"/>
      <c r="J31" s="470"/>
      <c r="K31" s="470"/>
      <c r="L31" s="470"/>
      <c r="M31" s="470"/>
      <c r="N31" s="470"/>
      <c r="O31" s="470"/>
      <c r="P31" s="470"/>
      <c r="Q31" s="470"/>
      <c r="R31" s="470"/>
      <c r="S31" s="470"/>
      <c r="T31" s="470"/>
      <c r="U31" s="470"/>
      <c r="V31" s="470"/>
      <c r="W31" s="470"/>
      <c r="X31" s="470"/>
      <c r="Y31" s="470"/>
      <c r="Z31" s="470"/>
      <c r="AA31" s="470"/>
      <c r="AB31" s="470"/>
      <c r="AC31" s="470"/>
      <c r="AD31" s="470"/>
      <c r="AE31" s="470"/>
      <c r="AF31" s="470"/>
      <c r="AG31" s="470"/>
      <c r="AH31" s="470"/>
      <c r="AI31" s="470"/>
      <c r="AJ31" s="470"/>
      <c r="AK31" s="470"/>
      <c r="AL31" s="470"/>
      <c r="AM31" s="470"/>
      <c r="AN31" s="470"/>
      <c r="AO31" s="470"/>
      <c r="AP31" s="470"/>
      <c r="AQ31" s="470"/>
      <c r="AR31" s="470"/>
      <c r="AS31" s="470"/>
    </row>
    <row r="32" spans="1:45">
      <c r="A32" s="470"/>
      <c r="B32" s="470"/>
      <c r="C32" s="470"/>
      <c r="D32" s="470"/>
      <c r="E32" s="470"/>
      <c r="F32" s="470"/>
      <c r="G32" s="470"/>
      <c r="H32" s="470"/>
      <c r="I32" s="470"/>
      <c r="J32" s="470"/>
      <c r="K32" s="470"/>
      <c r="L32" s="470"/>
      <c r="M32" s="470"/>
      <c r="N32" s="470"/>
      <c r="O32" s="470"/>
      <c r="P32" s="470"/>
      <c r="Q32" s="470"/>
      <c r="R32" s="470"/>
      <c r="S32" s="470"/>
      <c r="T32" s="470"/>
      <c r="U32" s="470"/>
      <c r="V32" s="470"/>
      <c r="W32" s="470"/>
      <c r="X32" s="470"/>
      <c r="Y32" s="470"/>
      <c r="Z32" s="470"/>
      <c r="AA32" s="470"/>
      <c r="AB32" s="470"/>
      <c r="AC32" s="470"/>
      <c r="AD32" s="470"/>
      <c r="AE32" s="470"/>
      <c r="AF32" s="470"/>
      <c r="AG32" s="470"/>
      <c r="AH32" s="470"/>
      <c r="AI32" s="470"/>
      <c r="AJ32" s="470"/>
      <c r="AK32" s="470"/>
      <c r="AL32" s="470"/>
      <c r="AM32" s="470"/>
      <c r="AN32" s="470"/>
      <c r="AO32" s="470"/>
      <c r="AP32" s="470"/>
      <c r="AQ32" s="470"/>
      <c r="AR32" s="470"/>
      <c r="AS32" s="470"/>
    </row>
    <row r="33" spans="1:45">
      <c r="A33" s="470"/>
      <c r="B33" s="470"/>
      <c r="C33" s="470"/>
      <c r="D33" s="470"/>
      <c r="E33" s="470"/>
      <c r="F33" s="470"/>
      <c r="G33" s="470"/>
      <c r="H33" s="470"/>
      <c r="I33" s="470"/>
      <c r="J33" s="470"/>
      <c r="K33" s="470"/>
      <c r="L33" s="470"/>
      <c r="M33" s="470"/>
      <c r="N33" s="470"/>
      <c r="O33" s="470"/>
      <c r="P33" s="470"/>
      <c r="Q33" s="470"/>
      <c r="R33" s="470"/>
      <c r="S33" s="470"/>
      <c r="T33" s="470"/>
      <c r="U33" s="470"/>
      <c r="V33" s="470"/>
      <c r="W33" s="470"/>
      <c r="X33" s="470"/>
      <c r="Y33" s="470"/>
      <c r="Z33" s="470"/>
      <c r="AA33" s="470"/>
      <c r="AB33" s="470"/>
      <c r="AC33" s="470"/>
      <c r="AD33" s="470"/>
      <c r="AE33" s="470"/>
      <c r="AF33" s="470"/>
      <c r="AG33" s="470"/>
      <c r="AH33" s="470"/>
      <c r="AI33" s="470"/>
      <c r="AJ33" s="470"/>
      <c r="AK33" s="470"/>
      <c r="AL33" s="470"/>
      <c r="AM33" s="470"/>
      <c r="AN33" s="470"/>
      <c r="AO33" s="470"/>
      <c r="AP33" s="470"/>
      <c r="AQ33" s="470"/>
      <c r="AR33" s="470"/>
      <c r="AS33" s="470"/>
    </row>
    <row r="34" spans="1:45">
      <c r="A34" s="470"/>
      <c r="B34" s="470"/>
      <c r="C34" s="470"/>
      <c r="D34" s="470"/>
      <c r="E34" s="470"/>
      <c r="F34" s="470"/>
      <c r="G34" s="470"/>
      <c r="H34" s="470"/>
      <c r="I34" s="470"/>
      <c r="J34" s="470"/>
      <c r="K34" s="470"/>
      <c r="L34" s="470"/>
      <c r="M34" s="470"/>
      <c r="N34" s="470"/>
      <c r="O34" s="470"/>
      <c r="P34" s="470"/>
      <c r="Q34" s="470"/>
      <c r="R34" s="470"/>
      <c r="S34" s="470"/>
      <c r="T34" s="470"/>
      <c r="U34" s="470"/>
      <c r="V34" s="470"/>
      <c r="W34" s="470"/>
      <c r="X34" s="470"/>
      <c r="Y34" s="470"/>
      <c r="Z34" s="470"/>
      <c r="AA34" s="470"/>
      <c r="AB34" s="470"/>
      <c r="AC34" s="470"/>
      <c r="AD34" s="470"/>
      <c r="AE34" s="470"/>
      <c r="AF34" s="470"/>
      <c r="AG34" s="470"/>
      <c r="AH34" s="470"/>
      <c r="AI34" s="470"/>
      <c r="AJ34" s="470"/>
      <c r="AK34" s="470"/>
      <c r="AL34" s="470"/>
      <c r="AM34" s="470"/>
      <c r="AN34" s="470"/>
      <c r="AO34" s="470"/>
      <c r="AP34" s="470"/>
      <c r="AQ34" s="470"/>
      <c r="AR34" s="470"/>
      <c r="AS34" s="470"/>
    </row>
    <row r="35" spans="1:45">
      <c r="A35" s="470"/>
      <c r="B35" s="470"/>
      <c r="C35" s="470"/>
      <c r="D35" s="470"/>
      <c r="E35" s="470"/>
      <c r="F35" s="470"/>
      <c r="G35" s="470"/>
      <c r="H35" s="470"/>
      <c r="I35" s="470"/>
      <c r="J35" s="470"/>
      <c r="K35" s="470"/>
      <c r="L35" s="470"/>
      <c r="M35" s="470"/>
      <c r="N35" s="470"/>
      <c r="O35" s="470"/>
      <c r="P35" s="470"/>
      <c r="Q35" s="470"/>
      <c r="R35" s="470"/>
      <c r="S35" s="470"/>
      <c r="T35" s="470"/>
      <c r="U35" s="470"/>
      <c r="V35" s="470"/>
      <c r="W35" s="470"/>
      <c r="X35" s="470"/>
      <c r="Y35" s="470"/>
      <c r="Z35" s="470"/>
      <c r="AA35" s="470"/>
      <c r="AB35" s="470"/>
      <c r="AC35" s="470"/>
      <c r="AD35" s="470"/>
      <c r="AE35" s="470"/>
      <c r="AF35" s="470"/>
      <c r="AG35" s="470"/>
      <c r="AH35" s="470"/>
      <c r="AI35" s="470"/>
      <c r="AJ35" s="470"/>
      <c r="AK35" s="470"/>
      <c r="AL35" s="470"/>
      <c r="AM35" s="470"/>
      <c r="AN35" s="470"/>
      <c r="AO35" s="470"/>
      <c r="AP35" s="470"/>
      <c r="AQ35" s="470"/>
      <c r="AR35" s="470"/>
      <c r="AS35" s="470"/>
    </row>
    <row r="36" spans="1:45">
      <c r="A36" s="470"/>
      <c r="B36" s="470"/>
      <c r="C36" s="470"/>
      <c r="D36" s="470"/>
      <c r="E36" s="470"/>
      <c r="F36" s="470"/>
      <c r="G36" s="470"/>
      <c r="H36" s="470"/>
      <c r="I36" s="470"/>
      <c r="J36" s="470"/>
      <c r="K36" s="470"/>
      <c r="L36" s="470"/>
      <c r="M36" s="470"/>
      <c r="N36" s="470"/>
      <c r="O36" s="470"/>
      <c r="P36" s="470"/>
      <c r="Q36" s="470"/>
      <c r="R36" s="470"/>
      <c r="S36" s="470"/>
      <c r="T36" s="470"/>
      <c r="U36" s="470"/>
      <c r="V36" s="470"/>
      <c r="W36" s="470"/>
      <c r="X36" s="470"/>
      <c r="Y36" s="470"/>
      <c r="Z36" s="470"/>
      <c r="AA36" s="470"/>
      <c r="AB36" s="470"/>
      <c r="AC36" s="470"/>
      <c r="AD36" s="470"/>
      <c r="AE36" s="470"/>
      <c r="AF36" s="470"/>
      <c r="AG36" s="470"/>
      <c r="AH36" s="470"/>
      <c r="AI36" s="470"/>
      <c r="AJ36" s="470"/>
      <c r="AK36" s="470"/>
      <c r="AL36" s="470"/>
      <c r="AM36" s="470"/>
      <c r="AN36" s="470"/>
      <c r="AO36" s="470"/>
      <c r="AP36" s="470"/>
      <c r="AQ36" s="470"/>
      <c r="AR36" s="470"/>
      <c r="AS36" s="470"/>
    </row>
    <row r="37" spans="1:45">
      <c r="A37" s="470"/>
      <c r="B37" s="470"/>
      <c r="C37" s="470"/>
      <c r="D37" s="470"/>
      <c r="E37" s="470"/>
      <c r="F37" s="470"/>
      <c r="G37" s="470"/>
      <c r="H37" s="470"/>
      <c r="I37" s="470"/>
      <c r="J37" s="470"/>
      <c r="K37" s="470"/>
      <c r="L37" s="470"/>
      <c r="M37" s="470"/>
      <c r="N37" s="470"/>
      <c r="O37" s="470"/>
      <c r="P37" s="470"/>
      <c r="Q37" s="470"/>
      <c r="R37" s="470"/>
      <c r="S37" s="470"/>
      <c r="T37" s="470"/>
      <c r="U37" s="470"/>
      <c r="V37" s="470"/>
      <c r="W37" s="470"/>
      <c r="X37" s="470"/>
      <c r="Y37" s="470"/>
      <c r="Z37" s="470"/>
      <c r="AA37" s="470"/>
      <c r="AB37" s="470"/>
      <c r="AC37" s="470"/>
      <c r="AD37" s="470"/>
      <c r="AE37" s="470"/>
      <c r="AF37" s="470"/>
      <c r="AG37" s="470"/>
      <c r="AH37" s="470"/>
      <c r="AI37" s="470"/>
      <c r="AJ37" s="470"/>
      <c r="AK37" s="470"/>
      <c r="AL37" s="470"/>
      <c r="AM37" s="470"/>
      <c r="AN37" s="470"/>
      <c r="AO37" s="470"/>
      <c r="AP37" s="470"/>
      <c r="AQ37" s="470"/>
      <c r="AR37" s="470"/>
      <c r="AS37" s="470"/>
    </row>
    <row r="38" spans="1:45">
      <c r="A38" s="470"/>
      <c r="B38" s="470"/>
      <c r="C38" s="470"/>
      <c r="D38" s="470"/>
      <c r="E38" s="470"/>
      <c r="F38" s="470"/>
      <c r="G38" s="470"/>
      <c r="H38" s="470"/>
      <c r="I38" s="470"/>
      <c r="J38" s="470"/>
      <c r="K38" s="470"/>
      <c r="L38" s="470"/>
      <c r="M38" s="470"/>
      <c r="N38" s="470"/>
      <c r="O38" s="470"/>
      <c r="P38" s="470"/>
      <c r="Q38" s="470"/>
      <c r="R38" s="470"/>
      <c r="S38" s="470"/>
      <c r="T38" s="470"/>
      <c r="U38" s="470"/>
      <c r="V38" s="470"/>
      <c r="W38" s="470"/>
      <c r="X38" s="470"/>
      <c r="Y38" s="470"/>
      <c r="Z38" s="470"/>
      <c r="AA38" s="470"/>
      <c r="AB38" s="470"/>
      <c r="AC38" s="470"/>
      <c r="AD38" s="470"/>
      <c r="AE38" s="470"/>
      <c r="AF38" s="470"/>
      <c r="AG38" s="470"/>
      <c r="AH38" s="470"/>
      <c r="AI38" s="470"/>
      <c r="AJ38" s="470"/>
      <c r="AK38" s="470"/>
      <c r="AL38" s="470"/>
      <c r="AM38" s="470"/>
      <c r="AN38" s="470"/>
      <c r="AO38" s="470"/>
      <c r="AP38" s="470"/>
      <c r="AQ38" s="470"/>
      <c r="AR38" s="470"/>
      <c r="AS38" s="470"/>
    </row>
    <row r="39" spans="1:45">
      <c r="A39" s="470"/>
      <c r="B39" s="470"/>
      <c r="C39" s="470"/>
      <c r="D39" s="470"/>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c r="AC39" s="470"/>
      <c r="AD39" s="470"/>
      <c r="AE39" s="470"/>
      <c r="AF39" s="470"/>
      <c r="AG39" s="470"/>
      <c r="AH39" s="470"/>
      <c r="AI39" s="470"/>
      <c r="AJ39" s="470"/>
      <c r="AK39" s="470"/>
      <c r="AL39" s="470"/>
      <c r="AM39" s="470"/>
      <c r="AN39" s="470"/>
      <c r="AO39" s="470"/>
      <c r="AP39" s="470"/>
      <c r="AQ39" s="470"/>
      <c r="AR39" s="470"/>
      <c r="AS39" s="470"/>
    </row>
    <row r="40" spans="1:45">
      <c r="A40" s="470"/>
      <c r="B40" s="470"/>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c r="AD40" s="470"/>
      <c r="AE40" s="470"/>
      <c r="AF40" s="470"/>
      <c r="AG40" s="470"/>
      <c r="AH40" s="470"/>
      <c r="AI40" s="470"/>
      <c r="AJ40" s="470"/>
      <c r="AK40" s="470"/>
      <c r="AL40" s="470"/>
      <c r="AM40" s="470"/>
      <c r="AN40" s="470"/>
      <c r="AO40" s="470"/>
      <c r="AP40" s="470"/>
      <c r="AQ40" s="470"/>
      <c r="AR40" s="470"/>
      <c r="AS40" s="470"/>
    </row>
    <row r="41" spans="1:45">
      <c r="A41" s="470"/>
      <c r="B41" s="470"/>
      <c r="C41" s="470"/>
      <c r="D41" s="470"/>
      <c r="E41" s="470"/>
      <c r="F41" s="470"/>
      <c r="G41" s="470"/>
      <c r="H41" s="470"/>
      <c r="I41" s="470"/>
      <c r="J41" s="470"/>
      <c r="K41" s="470"/>
      <c r="L41" s="470"/>
      <c r="M41" s="470"/>
      <c r="N41" s="470"/>
      <c r="O41" s="470"/>
      <c r="P41" s="470"/>
      <c r="Q41" s="470"/>
      <c r="R41" s="470"/>
      <c r="S41" s="470"/>
      <c r="T41" s="470"/>
      <c r="U41" s="470"/>
      <c r="V41" s="470"/>
      <c r="W41" s="470"/>
      <c r="X41" s="470"/>
      <c r="Y41" s="470"/>
      <c r="Z41" s="470"/>
      <c r="AA41" s="470"/>
      <c r="AB41" s="470"/>
      <c r="AC41" s="470"/>
      <c r="AD41" s="470"/>
      <c r="AE41" s="470"/>
      <c r="AF41" s="470"/>
      <c r="AG41" s="470"/>
      <c r="AH41" s="470"/>
      <c r="AI41" s="470"/>
      <c r="AJ41" s="470"/>
      <c r="AK41" s="470"/>
      <c r="AL41" s="470"/>
      <c r="AM41" s="470"/>
      <c r="AN41" s="470"/>
      <c r="AO41" s="470"/>
      <c r="AP41" s="470"/>
      <c r="AQ41" s="470"/>
      <c r="AR41" s="470"/>
      <c r="AS41" s="470"/>
    </row>
    <row r="42" spans="1:45">
      <c r="A42" s="470"/>
      <c r="B42" s="470"/>
      <c r="C42" s="470"/>
      <c r="D42" s="470"/>
      <c r="E42" s="470"/>
      <c r="F42" s="470"/>
      <c r="G42" s="470"/>
      <c r="H42" s="470"/>
      <c r="I42" s="470"/>
      <c r="J42" s="470"/>
      <c r="K42" s="470"/>
      <c r="L42" s="470"/>
      <c r="M42" s="470"/>
      <c r="N42" s="470"/>
      <c r="O42" s="470"/>
      <c r="P42" s="470"/>
      <c r="Q42" s="470"/>
      <c r="R42" s="470"/>
      <c r="S42" s="470"/>
      <c r="T42" s="470"/>
      <c r="U42" s="470"/>
      <c r="V42" s="470"/>
      <c r="W42" s="470"/>
      <c r="X42" s="470"/>
      <c r="Y42" s="470"/>
      <c r="Z42" s="470"/>
      <c r="AA42" s="470"/>
      <c r="AB42" s="470"/>
      <c r="AC42" s="470"/>
      <c r="AD42" s="470"/>
      <c r="AE42" s="470"/>
      <c r="AF42" s="470"/>
      <c r="AG42" s="470"/>
      <c r="AH42" s="470"/>
      <c r="AI42" s="470"/>
      <c r="AJ42" s="470"/>
      <c r="AK42" s="470"/>
      <c r="AL42" s="470"/>
      <c r="AM42" s="470"/>
      <c r="AN42" s="470"/>
      <c r="AO42" s="470"/>
      <c r="AP42" s="470"/>
      <c r="AQ42" s="470"/>
      <c r="AR42" s="470"/>
      <c r="AS42" s="470"/>
    </row>
    <row r="43" spans="1:45">
      <c r="A43" s="470"/>
      <c r="B43" s="470"/>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c r="AA43" s="470"/>
      <c r="AB43" s="470"/>
      <c r="AC43" s="470"/>
      <c r="AD43" s="470"/>
      <c r="AE43" s="470"/>
      <c r="AF43" s="470"/>
      <c r="AG43" s="470"/>
      <c r="AH43" s="470"/>
      <c r="AI43" s="470"/>
      <c r="AJ43" s="470"/>
      <c r="AK43" s="470"/>
      <c r="AL43" s="470"/>
      <c r="AM43" s="470"/>
      <c r="AN43" s="470"/>
      <c r="AO43" s="470"/>
      <c r="AP43" s="470"/>
      <c r="AQ43" s="470"/>
      <c r="AR43" s="470"/>
      <c r="AS43" s="470"/>
    </row>
    <row r="44" spans="1:45">
      <c r="A44" s="470"/>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row>
    <row r="45" spans="1:45" ht="96" customHeight="1">
      <c r="A45" s="470"/>
      <c r="B45" s="470"/>
      <c r="C45" s="470"/>
      <c r="D45" s="470"/>
      <c r="E45" s="470"/>
      <c r="F45" s="470"/>
      <c r="G45" s="470"/>
      <c r="H45" s="470"/>
      <c r="I45" s="470"/>
      <c r="J45" s="470"/>
      <c r="K45" s="470"/>
      <c r="L45" s="470"/>
      <c r="M45" s="470"/>
      <c r="N45" s="470"/>
      <c r="O45" s="470"/>
      <c r="P45" s="470"/>
      <c r="Q45" s="470"/>
      <c r="R45" s="470"/>
      <c r="S45" s="470"/>
      <c r="T45" s="470"/>
      <c r="U45" s="470"/>
      <c r="V45" s="470"/>
      <c r="W45" s="470"/>
      <c r="X45" s="470"/>
      <c r="Y45" s="470"/>
      <c r="Z45" s="470"/>
      <c r="AA45" s="470"/>
      <c r="AB45" s="470"/>
      <c r="AC45" s="470"/>
      <c r="AD45" s="470"/>
      <c r="AE45" s="470"/>
      <c r="AF45" s="470"/>
      <c r="AG45" s="470"/>
      <c r="AH45" s="470"/>
      <c r="AI45" s="470"/>
      <c r="AJ45" s="470"/>
      <c r="AK45" s="470"/>
      <c r="AL45" s="470"/>
      <c r="AM45" s="470"/>
      <c r="AN45" s="470"/>
      <c r="AO45" s="470"/>
      <c r="AP45" s="470"/>
      <c r="AQ45" s="470"/>
      <c r="AR45" s="470"/>
      <c r="AS45" s="470"/>
    </row>
    <row r="46" spans="1:45">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row>
    <row r="47" spans="1:45">
      <c r="A47" s="468" t="s">
        <v>102</v>
      </c>
      <c r="B47" s="468"/>
      <c r="C47" s="468"/>
      <c r="D47" s="468"/>
      <c r="E47" s="468"/>
      <c r="F47" s="468"/>
      <c r="G47" s="468"/>
      <c r="H47" s="468"/>
      <c r="I47" s="468"/>
      <c r="J47" s="468"/>
      <c r="K47" s="468"/>
      <c r="L47" s="468"/>
      <c r="M47" s="468"/>
      <c r="N47" s="468"/>
      <c r="O47" s="468"/>
      <c r="P47" s="468"/>
      <c r="Q47" s="468"/>
      <c r="R47" s="468"/>
      <c r="S47" s="468"/>
      <c r="T47" s="468"/>
      <c r="U47" s="468"/>
      <c r="V47" s="468"/>
      <c r="W47" s="468"/>
      <c r="X47" s="468"/>
      <c r="Y47" s="468"/>
      <c r="Z47" s="468"/>
      <c r="AA47" s="468"/>
      <c r="AB47" s="468"/>
      <c r="AC47" s="468"/>
      <c r="AD47" s="468"/>
      <c r="AE47" s="468"/>
      <c r="AF47" s="468"/>
      <c r="AG47" s="468"/>
      <c r="AH47" s="468"/>
      <c r="AI47" s="468"/>
      <c r="AJ47" s="468"/>
      <c r="AK47" s="468"/>
      <c r="AL47" s="468"/>
      <c r="AM47" s="468"/>
      <c r="AN47" s="468"/>
      <c r="AO47" s="468"/>
      <c r="AP47" s="468"/>
      <c r="AQ47" s="468"/>
      <c r="AR47" s="468"/>
      <c r="AS47" s="468"/>
    </row>
    <row r="49" spans="1:45">
      <c r="A49" s="94" t="s">
        <v>103</v>
      </c>
    </row>
    <row r="50" spans="1:45">
      <c r="C50" s="90" t="str">
        <f>CONCATENATE('Вышки туры'!B5," (",AW11,") за каждые сутки аренды.")</f>
        <v>156 (Сто пятьдесят шесть рублей 00 копеек) за каждые сутки аренды.</v>
      </c>
    </row>
    <row r="51" spans="1:45">
      <c r="A51" s="450" t="s">
        <v>210</v>
      </c>
      <c r="B51" s="453"/>
      <c r="C51" s="453"/>
      <c r="D51" s="453"/>
      <c r="E51" s="453"/>
      <c r="F51" s="453"/>
      <c r="G51" s="453"/>
      <c r="H51" s="453"/>
      <c r="I51" s="453"/>
      <c r="J51" s="453"/>
      <c r="K51" s="453"/>
      <c r="L51" s="453"/>
      <c r="M51" s="453"/>
      <c r="N51" s="453"/>
      <c r="O51" s="453"/>
      <c r="P51" s="453"/>
      <c r="Q51" s="453"/>
      <c r="R51" s="453"/>
      <c r="S51" s="453"/>
      <c r="T51" s="453"/>
      <c r="U51" s="453"/>
      <c r="V51" s="453"/>
      <c r="W51" s="453"/>
      <c r="X51" s="453"/>
      <c r="Y51" s="453"/>
      <c r="Z51" s="453"/>
      <c r="AA51" s="453"/>
      <c r="AB51" s="453"/>
      <c r="AC51" s="453"/>
      <c r="AD51" s="453"/>
      <c r="AE51" s="453"/>
      <c r="AF51" s="453"/>
      <c r="AG51" s="453"/>
      <c r="AH51" s="453"/>
      <c r="AI51" s="453"/>
      <c r="AJ51" s="453"/>
      <c r="AK51" s="453"/>
      <c r="AL51" s="453"/>
      <c r="AM51" s="453"/>
      <c r="AN51" s="453"/>
      <c r="AO51" s="453"/>
      <c r="AP51" s="453"/>
      <c r="AQ51" s="453"/>
      <c r="AR51" s="453"/>
      <c r="AS51" s="453"/>
    </row>
    <row r="52" spans="1:45">
      <c r="A52" s="453"/>
      <c r="B52" s="453"/>
      <c r="C52" s="453"/>
      <c r="D52" s="453"/>
      <c r="E52" s="453"/>
      <c r="F52" s="453"/>
      <c r="G52" s="453"/>
      <c r="H52" s="453"/>
      <c r="I52" s="453"/>
      <c r="J52" s="453"/>
      <c r="K52" s="453"/>
      <c r="L52" s="453"/>
      <c r="M52" s="453"/>
      <c r="N52" s="453"/>
      <c r="O52" s="453"/>
      <c r="P52" s="453"/>
      <c r="Q52" s="453"/>
      <c r="R52" s="453"/>
      <c r="S52" s="453"/>
      <c r="T52" s="453"/>
      <c r="U52" s="453"/>
      <c r="V52" s="453"/>
      <c r="W52" s="453"/>
      <c r="X52" s="453"/>
      <c r="Y52" s="453"/>
      <c r="Z52" s="453"/>
      <c r="AA52" s="453"/>
      <c r="AB52" s="453"/>
      <c r="AC52" s="453"/>
      <c r="AD52" s="453"/>
      <c r="AE52" s="453"/>
      <c r="AF52" s="453"/>
      <c r="AG52" s="453"/>
      <c r="AH52" s="453"/>
      <c r="AI52" s="453"/>
      <c r="AJ52" s="453"/>
      <c r="AK52" s="453"/>
      <c r="AL52" s="453"/>
      <c r="AM52" s="453"/>
      <c r="AN52" s="453"/>
      <c r="AO52" s="453"/>
      <c r="AP52" s="453"/>
      <c r="AQ52" s="453"/>
      <c r="AR52" s="453"/>
      <c r="AS52" s="453"/>
    </row>
    <row r="53" spans="1:45">
      <c r="A53" s="453"/>
      <c r="B53" s="453"/>
      <c r="C53" s="453"/>
      <c r="D53" s="453"/>
      <c r="E53" s="453"/>
      <c r="F53" s="453"/>
      <c r="G53" s="453"/>
      <c r="H53" s="453"/>
      <c r="I53" s="453"/>
      <c r="J53" s="453"/>
      <c r="K53" s="453"/>
      <c r="L53" s="453"/>
      <c r="M53" s="453"/>
      <c r="N53" s="453"/>
      <c r="O53" s="453"/>
      <c r="P53" s="453"/>
      <c r="Q53" s="453"/>
      <c r="R53" s="453"/>
      <c r="S53" s="453"/>
      <c r="T53" s="453"/>
      <c r="U53" s="453"/>
      <c r="V53" s="453"/>
      <c r="W53" s="453"/>
      <c r="X53" s="453"/>
      <c r="Y53" s="453"/>
      <c r="Z53" s="453"/>
      <c r="AA53" s="453"/>
      <c r="AB53" s="453"/>
      <c r="AC53" s="453"/>
      <c r="AD53" s="453"/>
      <c r="AE53" s="453"/>
      <c r="AF53" s="453"/>
      <c r="AG53" s="453"/>
      <c r="AH53" s="453"/>
      <c r="AI53" s="453"/>
      <c r="AJ53" s="453"/>
      <c r="AK53" s="453"/>
      <c r="AL53" s="453"/>
      <c r="AM53" s="453"/>
      <c r="AN53" s="453"/>
      <c r="AO53" s="453"/>
      <c r="AP53" s="453"/>
      <c r="AQ53" s="453"/>
      <c r="AR53" s="453"/>
      <c r="AS53" s="453"/>
    </row>
    <row r="54" spans="1:45">
      <c r="A54" s="453"/>
      <c r="B54" s="453"/>
      <c r="C54" s="453"/>
      <c r="D54" s="453"/>
      <c r="E54" s="453"/>
      <c r="F54" s="453"/>
      <c r="G54" s="453"/>
      <c r="H54" s="453"/>
      <c r="I54" s="453"/>
      <c r="J54" s="453"/>
      <c r="K54" s="453"/>
      <c r="L54" s="453"/>
      <c r="M54" s="453"/>
      <c r="N54" s="453"/>
      <c r="O54" s="453"/>
      <c r="P54" s="453"/>
      <c r="Q54" s="453"/>
      <c r="R54" s="453"/>
      <c r="S54" s="453"/>
      <c r="T54" s="453"/>
      <c r="U54" s="453"/>
      <c r="V54" s="453"/>
      <c r="W54" s="453"/>
      <c r="X54" s="453"/>
      <c r="Y54" s="453"/>
      <c r="Z54" s="453"/>
      <c r="AA54" s="453"/>
      <c r="AB54" s="453"/>
      <c r="AC54" s="453"/>
      <c r="AD54" s="453"/>
      <c r="AE54" s="453"/>
      <c r="AF54" s="453"/>
      <c r="AG54" s="453"/>
      <c r="AH54" s="453"/>
      <c r="AI54" s="453"/>
      <c r="AJ54" s="453"/>
      <c r="AK54" s="453"/>
      <c r="AL54" s="453"/>
      <c r="AM54" s="453"/>
      <c r="AN54" s="453"/>
      <c r="AO54" s="453"/>
      <c r="AP54" s="453"/>
      <c r="AQ54" s="453"/>
      <c r="AR54" s="453"/>
      <c r="AS54" s="453"/>
    </row>
    <row r="55" spans="1:45">
      <c r="A55" s="453"/>
      <c r="B55" s="453"/>
      <c r="C55" s="453"/>
      <c r="D55" s="453"/>
      <c r="E55" s="453"/>
      <c r="F55" s="453"/>
      <c r="G55" s="453"/>
      <c r="H55" s="453"/>
      <c r="I55" s="453"/>
      <c r="J55" s="453"/>
      <c r="K55" s="453"/>
      <c r="L55" s="453"/>
      <c r="M55" s="453"/>
      <c r="N55" s="453"/>
      <c r="O55" s="453"/>
      <c r="P55" s="453"/>
      <c r="Q55" s="453"/>
      <c r="R55" s="453"/>
      <c r="S55" s="453"/>
      <c r="T55" s="453"/>
      <c r="U55" s="453"/>
      <c r="V55" s="453"/>
      <c r="W55" s="453"/>
      <c r="X55" s="453"/>
      <c r="Y55" s="453"/>
      <c r="Z55" s="453"/>
      <c r="AA55" s="453"/>
      <c r="AB55" s="453"/>
      <c r="AC55" s="453"/>
      <c r="AD55" s="453"/>
      <c r="AE55" s="453"/>
      <c r="AF55" s="453"/>
      <c r="AG55" s="453"/>
      <c r="AH55" s="453"/>
      <c r="AI55" s="453"/>
      <c r="AJ55" s="453"/>
      <c r="AK55" s="453"/>
      <c r="AL55" s="453"/>
      <c r="AM55" s="453"/>
      <c r="AN55" s="453"/>
      <c r="AO55" s="453"/>
      <c r="AP55" s="453"/>
      <c r="AQ55" s="453"/>
      <c r="AR55" s="453"/>
      <c r="AS55" s="453"/>
    </row>
    <row r="57" spans="1:45">
      <c r="A57" s="468" t="s">
        <v>105</v>
      </c>
      <c r="B57" s="468"/>
      <c r="C57" s="468"/>
      <c r="D57" s="468"/>
      <c r="E57" s="468"/>
      <c r="F57" s="468"/>
      <c r="G57" s="468"/>
      <c r="H57" s="468"/>
      <c r="I57" s="468"/>
      <c r="J57" s="468"/>
      <c r="K57" s="468"/>
      <c r="L57" s="468"/>
      <c r="M57" s="468"/>
      <c r="N57" s="468"/>
      <c r="O57" s="468"/>
      <c r="P57" s="468"/>
      <c r="Q57" s="468"/>
      <c r="R57" s="468"/>
      <c r="S57" s="468"/>
      <c r="T57" s="468"/>
      <c r="U57" s="468"/>
      <c r="V57" s="468"/>
      <c r="W57" s="468"/>
      <c r="X57" s="468"/>
      <c r="Y57" s="468"/>
      <c r="Z57" s="468"/>
      <c r="AA57" s="468"/>
      <c r="AB57" s="468"/>
      <c r="AC57" s="468"/>
      <c r="AD57" s="468"/>
      <c r="AE57" s="468"/>
      <c r="AF57" s="468"/>
      <c r="AG57" s="468"/>
      <c r="AH57" s="468"/>
      <c r="AI57" s="468"/>
      <c r="AJ57" s="468"/>
      <c r="AK57" s="468"/>
      <c r="AL57" s="468"/>
      <c r="AM57" s="468"/>
      <c r="AN57" s="468"/>
      <c r="AO57" s="468"/>
      <c r="AP57" s="468"/>
      <c r="AQ57" s="468"/>
      <c r="AR57" s="468"/>
      <c r="AS57" s="468"/>
    </row>
    <row r="59" spans="1:45">
      <c r="A59" s="451" t="s">
        <v>211</v>
      </c>
      <c r="B59" s="451"/>
      <c r="C59" s="451"/>
      <c r="D59" s="451"/>
      <c r="E59" s="451"/>
      <c r="F59" s="451"/>
      <c r="G59" s="451"/>
      <c r="H59" s="451"/>
      <c r="I59" s="451"/>
      <c r="J59" s="451"/>
      <c r="K59" s="451"/>
      <c r="L59" s="451"/>
      <c r="M59" s="451"/>
      <c r="N59" s="451"/>
      <c r="O59" s="451"/>
      <c r="P59" s="451"/>
      <c r="Q59" s="451"/>
      <c r="R59" s="451"/>
      <c r="S59" s="451"/>
      <c r="T59" s="451"/>
      <c r="U59" s="451"/>
      <c r="V59" s="451"/>
      <c r="W59" s="451"/>
      <c r="X59" s="451"/>
      <c r="Y59" s="451"/>
      <c r="Z59" s="451"/>
      <c r="AA59" s="451"/>
      <c r="AB59" s="451"/>
      <c r="AC59" s="451"/>
      <c r="AD59" s="451"/>
      <c r="AE59" s="451"/>
      <c r="AF59" s="451"/>
      <c r="AG59" s="451"/>
      <c r="AH59" s="451"/>
      <c r="AI59" s="451"/>
      <c r="AJ59" s="451"/>
      <c r="AK59" s="451"/>
      <c r="AL59" s="451"/>
      <c r="AM59" s="451"/>
      <c r="AN59" s="451"/>
      <c r="AO59" s="451"/>
      <c r="AP59" s="451"/>
      <c r="AQ59" s="451"/>
      <c r="AR59" s="451"/>
      <c r="AS59" s="451"/>
    </row>
    <row r="60" spans="1:45">
      <c r="A60" s="451"/>
      <c r="B60" s="451"/>
      <c r="C60" s="451"/>
      <c r="D60" s="451"/>
      <c r="E60" s="451"/>
      <c r="F60" s="451"/>
      <c r="G60" s="451"/>
      <c r="H60" s="451"/>
      <c r="I60" s="451"/>
      <c r="J60" s="451"/>
      <c r="K60" s="451"/>
      <c r="L60" s="451"/>
      <c r="M60" s="451"/>
      <c r="N60" s="451"/>
      <c r="O60" s="451"/>
      <c r="P60" s="451"/>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row>
    <row r="61" spans="1:45">
      <c r="A61" s="451"/>
      <c r="B61" s="451"/>
      <c r="C61" s="451"/>
      <c r="D61" s="451"/>
      <c r="E61" s="451"/>
      <c r="F61" s="451"/>
      <c r="G61" s="451"/>
      <c r="H61" s="451"/>
      <c r="I61" s="451"/>
      <c r="J61" s="451"/>
      <c r="K61" s="451"/>
      <c r="L61" s="451"/>
      <c r="M61" s="451"/>
      <c r="N61" s="451"/>
      <c r="O61" s="451"/>
      <c r="P61" s="451"/>
      <c r="Q61" s="451"/>
      <c r="R61" s="451"/>
      <c r="S61" s="451"/>
      <c r="T61" s="451"/>
      <c r="U61" s="451"/>
      <c r="V61" s="451"/>
      <c r="W61" s="451"/>
      <c r="X61" s="451"/>
      <c r="Y61" s="451"/>
      <c r="Z61" s="451"/>
      <c r="AA61" s="451"/>
      <c r="AB61" s="451"/>
      <c r="AC61" s="451"/>
      <c r="AD61" s="451"/>
      <c r="AE61" s="451"/>
      <c r="AF61" s="451"/>
      <c r="AG61" s="451"/>
      <c r="AH61" s="451"/>
      <c r="AI61" s="451"/>
      <c r="AJ61" s="451"/>
      <c r="AK61" s="451"/>
      <c r="AL61" s="451"/>
      <c r="AM61" s="451"/>
      <c r="AN61" s="451"/>
      <c r="AO61" s="451"/>
      <c r="AP61" s="451"/>
      <c r="AQ61" s="451"/>
      <c r="AR61" s="451"/>
      <c r="AS61" s="451"/>
    </row>
    <row r="62" spans="1:45">
      <c r="A62" s="451"/>
      <c r="B62" s="451"/>
      <c r="C62" s="451"/>
      <c r="D62" s="451"/>
      <c r="E62" s="451"/>
      <c r="F62" s="451"/>
      <c r="G62" s="451"/>
      <c r="H62" s="451"/>
      <c r="I62" s="451"/>
      <c r="J62" s="451"/>
      <c r="K62" s="451"/>
      <c r="L62" s="451"/>
      <c r="M62" s="451"/>
      <c r="N62" s="451"/>
      <c r="O62" s="451"/>
      <c r="P62" s="451"/>
      <c r="Q62" s="451"/>
      <c r="R62" s="451"/>
      <c r="S62" s="451"/>
      <c r="T62" s="451"/>
      <c r="U62" s="451"/>
      <c r="V62" s="451"/>
      <c r="W62" s="451"/>
      <c r="X62" s="451"/>
      <c r="Y62" s="451"/>
      <c r="Z62" s="451"/>
      <c r="AA62" s="451"/>
      <c r="AB62" s="451"/>
      <c r="AC62" s="451"/>
      <c r="AD62" s="451"/>
      <c r="AE62" s="451"/>
      <c r="AF62" s="451"/>
      <c r="AG62" s="451"/>
      <c r="AH62" s="451"/>
      <c r="AI62" s="451"/>
      <c r="AJ62" s="451"/>
      <c r="AK62" s="451"/>
      <c r="AL62" s="451"/>
      <c r="AM62" s="451"/>
      <c r="AN62" s="451"/>
      <c r="AO62" s="451"/>
      <c r="AP62" s="451"/>
      <c r="AQ62" s="451"/>
      <c r="AR62" s="451"/>
      <c r="AS62" s="451"/>
    </row>
    <row r="63" spans="1:45">
      <c r="A63" s="451"/>
      <c r="B63" s="451"/>
      <c r="C63" s="451"/>
      <c r="D63" s="451"/>
      <c r="E63" s="451"/>
      <c r="F63" s="451"/>
      <c r="G63" s="451"/>
      <c r="H63" s="451"/>
      <c r="I63" s="451"/>
      <c r="J63" s="451"/>
      <c r="K63" s="451"/>
      <c r="L63" s="451"/>
      <c r="M63" s="451"/>
      <c r="N63" s="451"/>
      <c r="O63" s="451"/>
      <c r="P63" s="451"/>
      <c r="Q63" s="451"/>
      <c r="R63" s="451"/>
      <c r="S63" s="451"/>
      <c r="T63" s="451"/>
      <c r="U63" s="451"/>
      <c r="V63" s="451"/>
      <c r="W63" s="451"/>
      <c r="X63" s="451"/>
      <c r="Y63" s="451"/>
      <c r="Z63" s="451"/>
      <c r="AA63" s="451"/>
      <c r="AB63" s="451"/>
      <c r="AC63" s="451"/>
      <c r="AD63" s="451"/>
      <c r="AE63" s="451"/>
      <c r="AF63" s="451"/>
      <c r="AG63" s="451"/>
      <c r="AH63" s="451"/>
      <c r="AI63" s="451"/>
      <c r="AJ63" s="451"/>
      <c r="AK63" s="451"/>
      <c r="AL63" s="451"/>
      <c r="AM63" s="451"/>
      <c r="AN63" s="451"/>
      <c r="AO63" s="451"/>
      <c r="AP63" s="451"/>
      <c r="AQ63" s="451"/>
      <c r="AR63" s="451"/>
      <c r="AS63" s="451"/>
    </row>
    <row r="64" spans="1:45">
      <c r="A64" s="451"/>
      <c r="B64" s="451"/>
      <c r="C64" s="451"/>
      <c r="D64" s="451"/>
      <c r="E64" s="451"/>
      <c r="F64" s="451"/>
      <c r="G64" s="451"/>
      <c r="H64" s="451"/>
      <c r="I64" s="451"/>
      <c r="J64" s="451"/>
      <c r="K64" s="451"/>
      <c r="L64" s="451"/>
      <c r="M64" s="451"/>
      <c r="N64" s="451"/>
      <c r="O64" s="451"/>
      <c r="P64" s="451"/>
      <c r="Q64" s="451"/>
      <c r="R64" s="451"/>
      <c r="S64" s="451"/>
      <c r="T64" s="451"/>
      <c r="U64" s="451"/>
      <c r="V64" s="451"/>
      <c r="W64" s="451"/>
      <c r="X64" s="451"/>
      <c r="Y64" s="451"/>
      <c r="Z64" s="451"/>
      <c r="AA64" s="451"/>
      <c r="AB64" s="451"/>
      <c r="AC64" s="451"/>
      <c r="AD64" s="451"/>
      <c r="AE64" s="451"/>
      <c r="AF64" s="451"/>
      <c r="AG64" s="451"/>
      <c r="AH64" s="451"/>
      <c r="AI64" s="451"/>
      <c r="AJ64" s="451"/>
      <c r="AK64" s="451"/>
      <c r="AL64" s="451"/>
      <c r="AM64" s="451"/>
      <c r="AN64" s="451"/>
      <c r="AO64" s="451"/>
      <c r="AP64" s="451"/>
      <c r="AQ64" s="451"/>
      <c r="AR64" s="451"/>
      <c r="AS64" s="451"/>
    </row>
    <row r="65" spans="1:45">
      <c r="A65" s="451"/>
      <c r="B65" s="451"/>
      <c r="C65" s="451"/>
      <c r="D65" s="451"/>
      <c r="E65" s="451"/>
      <c r="F65" s="451"/>
      <c r="G65" s="451"/>
      <c r="H65" s="451"/>
      <c r="I65" s="451"/>
      <c r="J65" s="451"/>
      <c r="K65" s="451"/>
      <c r="L65" s="451"/>
      <c r="M65" s="451"/>
      <c r="N65" s="451"/>
      <c r="O65" s="451"/>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c r="AO65" s="451"/>
      <c r="AP65" s="451"/>
      <c r="AQ65" s="451"/>
      <c r="AR65" s="451"/>
      <c r="AS65" s="451"/>
    </row>
    <row r="66" spans="1:45">
      <c r="A66" s="451"/>
      <c r="B66" s="451"/>
      <c r="C66" s="451"/>
      <c r="D66" s="451"/>
      <c r="E66" s="451"/>
      <c r="F66" s="451"/>
      <c r="G66" s="451"/>
      <c r="H66" s="451"/>
      <c r="I66" s="451"/>
      <c r="J66" s="451"/>
      <c r="K66" s="451"/>
      <c r="L66" s="451"/>
      <c r="M66" s="451"/>
      <c r="N66" s="451"/>
      <c r="O66" s="451"/>
      <c r="P66" s="451"/>
      <c r="Q66" s="451"/>
      <c r="R66" s="451"/>
      <c r="S66" s="451"/>
      <c r="T66" s="451"/>
      <c r="U66" s="451"/>
      <c r="V66" s="451"/>
      <c r="W66" s="451"/>
      <c r="X66" s="451"/>
      <c r="Y66" s="451"/>
      <c r="Z66" s="451"/>
      <c r="AA66" s="451"/>
      <c r="AB66" s="451"/>
      <c r="AC66" s="451"/>
      <c r="AD66" s="451"/>
      <c r="AE66" s="451"/>
      <c r="AF66" s="451"/>
      <c r="AG66" s="451"/>
      <c r="AH66" s="451"/>
      <c r="AI66" s="451"/>
      <c r="AJ66" s="451"/>
      <c r="AK66" s="451"/>
      <c r="AL66" s="451"/>
      <c r="AM66" s="451"/>
      <c r="AN66" s="451"/>
      <c r="AO66" s="451"/>
      <c r="AP66" s="451"/>
      <c r="AQ66" s="451"/>
      <c r="AR66" s="451"/>
      <c r="AS66" s="451"/>
    </row>
    <row r="67" spans="1:45">
      <c r="A67" s="451"/>
      <c r="B67" s="451"/>
      <c r="C67" s="451"/>
      <c r="D67" s="451"/>
      <c r="E67" s="451"/>
      <c r="F67" s="451"/>
      <c r="G67" s="451"/>
      <c r="H67" s="451"/>
      <c r="I67" s="451"/>
      <c r="J67" s="451"/>
      <c r="K67" s="451"/>
      <c r="L67" s="451"/>
      <c r="M67" s="451"/>
      <c r="N67" s="451"/>
      <c r="O67" s="451"/>
      <c r="P67" s="45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1"/>
      <c r="AN67" s="451"/>
      <c r="AO67" s="451"/>
      <c r="AP67" s="451"/>
      <c r="AQ67" s="451"/>
      <c r="AR67" s="451"/>
      <c r="AS67" s="451"/>
    </row>
    <row r="68" spans="1:45">
      <c r="A68" s="451"/>
      <c r="B68" s="451"/>
      <c r="C68" s="451"/>
      <c r="D68" s="451"/>
      <c r="E68" s="451"/>
      <c r="F68" s="451"/>
      <c r="G68" s="451"/>
      <c r="H68" s="451"/>
      <c r="I68" s="451"/>
      <c r="J68" s="451"/>
      <c r="K68" s="451"/>
      <c r="L68" s="451"/>
      <c r="M68" s="451"/>
      <c r="N68" s="451"/>
      <c r="O68" s="451"/>
      <c r="P68" s="451"/>
      <c r="Q68" s="451"/>
      <c r="R68" s="451"/>
      <c r="S68" s="451"/>
      <c r="T68" s="451"/>
      <c r="U68" s="451"/>
      <c r="V68" s="451"/>
      <c r="W68" s="451"/>
      <c r="X68" s="451"/>
      <c r="Y68" s="451"/>
      <c r="Z68" s="451"/>
      <c r="AA68" s="451"/>
      <c r="AB68" s="451"/>
      <c r="AC68" s="451"/>
      <c r="AD68" s="451"/>
      <c r="AE68" s="451"/>
      <c r="AF68" s="451"/>
      <c r="AG68" s="451"/>
      <c r="AH68" s="451"/>
      <c r="AI68" s="451"/>
      <c r="AJ68" s="451"/>
      <c r="AK68" s="451"/>
      <c r="AL68" s="451"/>
      <c r="AM68" s="451"/>
      <c r="AN68" s="451"/>
      <c r="AO68" s="451"/>
      <c r="AP68" s="451"/>
      <c r="AQ68" s="451"/>
      <c r="AR68" s="451"/>
      <c r="AS68" s="451"/>
    </row>
    <row r="69" spans="1:45">
      <c r="A69" s="451"/>
      <c r="B69" s="451"/>
      <c r="C69" s="451"/>
      <c r="D69" s="451"/>
      <c r="E69" s="451"/>
      <c r="F69" s="451"/>
      <c r="G69" s="451"/>
      <c r="H69" s="451"/>
      <c r="I69" s="451"/>
      <c r="J69" s="451"/>
      <c r="K69" s="451"/>
      <c r="L69" s="451"/>
      <c r="M69" s="451"/>
      <c r="N69" s="451"/>
      <c r="O69" s="451"/>
      <c r="P69" s="451"/>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1"/>
      <c r="AN69" s="451"/>
      <c r="AO69" s="451"/>
      <c r="AP69" s="451"/>
      <c r="AQ69" s="451"/>
      <c r="AR69" s="451"/>
      <c r="AS69" s="451"/>
    </row>
    <row r="70" spans="1:45">
      <c r="A70" s="451"/>
      <c r="B70" s="451"/>
      <c r="C70" s="451"/>
      <c r="D70" s="451"/>
      <c r="E70" s="451"/>
      <c r="F70" s="451"/>
      <c r="G70" s="451"/>
      <c r="H70" s="451"/>
      <c r="I70" s="451"/>
      <c r="J70" s="451"/>
      <c r="K70" s="451"/>
      <c r="L70" s="451"/>
      <c r="M70" s="451"/>
      <c r="N70" s="451"/>
      <c r="O70" s="451"/>
      <c r="P70" s="451"/>
      <c r="Q70" s="451"/>
      <c r="R70" s="451"/>
      <c r="S70" s="451"/>
      <c r="T70" s="451"/>
      <c r="U70" s="451"/>
      <c r="V70" s="451"/>
      <c r="W70" s="451"/>
      <c r="X70" s="451"/>
      <c r="Y70" s="451"/>
      <c r="Z70" s="451"/>
      <c r="AA70" s="451"/>
      <c r="AB70" s="451"/>
      <c r="AC70" s="451"/>
      <c r="AD70" s="451"/>
      <c r="AE70" s="451"/>
      <c r="AF70" s="451"/>
      <c r="AG70" s="451"/>
      <c r="AH70" s="451"/>
      <c r="AI70" s="451"/>
      <c r="AJ70" s="451"/>
      <c r="AK70" s="451"/>
      <c r="AL70" s="451"/>
      <c r="AM70" s="451"/>
      <c r="AN70" s="451"/>
      <c r="AO70" s="451"/>
      <c r="AP70" s="451"/>
      <c r="AQ70" s="451"/>
      <c r="AR70" s="451"/>
      <c r="AS70" s="451"/>
    </row>
    <row r="71" spans="1:45">
      <c r="A71" s="451"/>
      <c r="B71" s="451"/>
      <c r="C71" s="451"/>
      <c r="D71" s="451"/>
      <c r="E71" s="451"/>
      <c r="F71" s="451"/>
      <c r="G71" s="451"/>
      <c r="H71" s="451"/>
      <c r="I71" s="451"/>
      <c r="J71" s="451"/>
      <c r="K71" s="451"/>
      <c r="L71" s="451"/>
      <c r="M71" s="451"/>
      <c r="N71" s="451"/>
      <c r="O71" s="451"/>
      <c r="P71" s="451"/>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1"/>
      <c r="AN71" s="451"/>
      <c r="AO71" s="451"/>
      <c r="AP71" s="451"/>
      <c r="AQ71" s="451"/>
      <c r="AR71" s="451"/>
      <c r="AS71" s="451"/>
    </row>
    <row r="72" spans="1:45">
      <c r="A72" s="451"/>
      <c r="B72" s="451"/>
      <c r="C72" s="451"/>
      <c r="D72" s="451"/>
      <c r="E72" s="451"/>
      <c r="F72" s="451"/>
      <c r="G72" s="451"/>
      <c r="H72" s="451"/>
      <c r="I72" s="451"/>
      <c r="J72" s="451"/>
      <c r="K72" s="451"/>
      <c r="L72" s="451"/>
      <c r="M72" s="451"/>
      <c r="N72" s="451"/>
      <c r="O72" s="451"/>
      <c r="P72" s="451"/>
      <c r="Q72" s="451"/>
      <c r="R72" s="451"/>
      <c r="S72" s="451"/>
      <c r="T72" s="451"/>
      <c r="U72" s="451"/>
      <c r="V72" s="451"/>
      <c r="W72" s="451"/>
      <c r="X72" s="451"/>
      <c r="Y72" s="451"/>
      <c r="Z72" s="451"/>
      <c r="AA72" s="451"/>
      <c r="AB72" s="451"/>
      <c r="AC72" s="451"/>
      <c r="AD72" s="451"/>
      <c r="AE72" s="451"/>
      <c r="AF72" s="451"/>
      <c r="AG72" s="451"/>
      <c r="AH72" s="451"/>
      <c r="AI72" s="451"/>
      <c r="AJ72" s="451"/>
      <c r="AK72" s="451"/>
      <c r="AL72" s="451"/>
      <c r="AM72" s="451"/>
      <c r="AN72" s="451"/>
      <c r="AO72" s="451"/>
      <c r="AP72" s="451"/>
      <c r="AQ72" s="451"/>
      <c r="AR72" s="451"/>
      <c r="AS72" s="451"/>
    </row>
    <row r="73" spans="1:45">
      <c r="A73" s="451"/>
      <c r="B73" s="451"/>
      <c r="C73" s="451"/>
      <c r="D73" s="451"/>
      <c r="E73" s="451"/>
      <c r="F73" s="451"/>
      <c r="G73" s="451"/>
      <c r="H73" s="451"/>
      <c r="I73" s="451"/>
      <c r="J73" s="451"/>
      <c r="K73" s="451"/>
      <c r="L73" s="451"/>
      <c r="M73" s="451"/>
      <c r="N73" s="451"/>
      <c r="O73" s="451"/>
      <c r="P73" s="451"/>
      <c r="Q73" s="451"/>
      <c r="R73" s="451"/>
      <c r="S73" s="451"/>
      <c r="T73" s="451"/>
      <c r="U73" s="451"/>
      <c r="V73" s="451"/>
      <c r="W73" s="451"/>
      <c r="X73" s="451"/>
      <c r="Y73" s="451"/>
      <c r="Z73" s="451"/>
      <c r="AA73" s="451"/>
      <c r="AB73" s="451"/>
      <c r="AC73" s="451"/>
      <c r="AD73" s="451"/>
      <c r="AE73" s="451"/>
      <c r="AF73" s="451"/>
      <c r="AG73" s="451"/>
      <c r="AH73" s="451"/>
      <c r="AI73" s="451"/>
      <c r="AJ73" s="451"/>
      <c r="AK73" s="451"/>
      <c r="AL73" s="451"/>
      <c r="AM73" s="451"/>
      <c r="AN73" s="451"/>
      <c r="AO73" s="451"/>
      <c r="AP73" s="451"/>
      <c r="AQ73" s="451"/>
      <c r="AR73" s="451"/>
      <c r="AS73" s="451"/>
    </row>
    <row r="74" spans="1:45">
      <c r="A74" s="451"/>
      <c r="B74" s="451"/>
      <c r="C74" s="451"/>
      <c r="D74" s="451"/>
      <c r="E74" s="451"/>
      <c r="F74" s="451"/>
      <c r="G74" s="451"/>
      <c r="H74" s="451"/>
      <c r="I74" s="451"/>
      <c r="J74" s="451"/>
      <c r="K74" s="451"/>
      <c r="L74" s="451"/>
      <c r="M74" s="451"/>
      <c r="N74" s="451"/>
      <c r="O74" s="451"/>
      <c r="P74" s="451"/>
      <c r="Q74" s="451"/>
      <c r="R74" s="451"/>
      <c r="S74" s="451"/>
      <c r="T74" s="451"/>
      <c r="U74" s="451"/>
      <c r="V74" s="451"/>
      <c r="W74" s="451"/>
      <c r="X74" s="451"/>
      <c r="Y74" s="451"/>
      <c r="Z74" s="451"/>
      <c r="AA74" s="451"/>
      <c r="AB74" s="451"/>
      <c r="AC74" s="451"/>
      <c r="AD74" s="451"/>
      <c r="AE74" s="451"/>
      <c r="AF74" s="451"/>
      <c r="AG74" s="451"/>
      <c r="AH74" s="451"/>
      <c r="AI74" s="451"/>
      <c r="AJ74" s="451"/>
      <c r="AK74" s="451"/>
      <c r="AL74" s="451"/>
      <c r="AM74" s="451"/>
      <c r="AN74" s="451"/>
      <c r="AO74" s="451"/>
      <c r="AP74" s="451"/>
      <c r="AQ74" s="451"/>
      <c r="AR74" s="451"/>
      <c r="AS74" s="451"/>
    </row>
    <row r="75" spans="1:45">
      <c r="A75" s="451"/>
      <c r="B75" s="451"/>
      <c r="C75" s="451"/>
      <c r="D75" s="451"/>
      <c r="E75" s="451"/>
      <c r="F75" s="451"/>
      <c r="G75" s="451"/>
      <c r="H75" s="451"/>
      <c r="I75" s="451"/>
      <c r="J75" s="451"/>
      <c r="K75" s="451"/>
      <c r="L75" s="451"/>
      <c r="M75" s="451"/>
      <c r="N75" s="451"/>
      <c r="O75" s="451"/>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1"/>
      <c r="AN75" s="451"/>
      <c r="AO75" s="451"/>
      <c r="AP75" s="451"/>
      <c r="AQ75" s="451"/>
      <c r="AR75" s="451"/>
      <c r="AS75" s="451"/>
    </row>
    <row r="76" spans="1:45">
      <c r="A76" s="451"/>
      <c r="B76" s="451"/>
      <c r="C76" s="451"/>
      <c r="D76" s="451"/>
      <c r="E76" s="451"/>
      <c r="F76" s="451"/>
      <c r="G76" s="451"/>
      <c r="H76" s="451"/>
      <c r="I76" s="451"/>
      <c r="J76" s="451"/>
      <c r="K76" s="451"/>
      <c r="L76" s="451"/>
      <c r="M76" s="451"/>
      <c r="N76" s="451"/>
      <c r="O76" s="451"/>
      <c r="P76" s="451"/>
      <c r="Q76" s="451"/>
      <c r="R76" s="451"/>
      <c r="S76" s="451"/>
      <c r="T76" s="451"/>
      <c r="U76" s="451"/>
      <c r="V76" s="451"/>
      <c r="W76" s="451"/>
      <c r="X76" s="451"/>
      <c r="Y76" s="451"/>
      <c r="Z76" s="451"/>
      <c r="AA76" s="451"/>
      <c r="AB76" s="451"/>
      <c r="AC76" s="451"/>
      <c r="AD76" s="451"/>
      <c r="AE76" s="451"/>
      <c r="AF76" s="451"/>
      <c r="AG76" s="451"/>
      <c r="AH76" s="451"/>
      <c r="AI76" s="451"/>
      <c r="AJ76" s="451"/>
      <c r="AK76" s="451"/>
      <c r="AL76" s="451"/>
      <c r="AM76" s="451"/>
      <c r="AN76" s="451"/>
      <c r="AO76" s="451"/>
      <c r="AP76" s="451"/>
      <c r="AQ76" s="451"/>
      <c r="AR76" s="451"/>
      <c r="AS76" s="451"/>
    </row>
    <row r="77" spans="1:45">
      <c r="A77" s="451"/>
      <c r="B77" s="451"/>
      <c r="C77" s="451"/>
      <c r="D77" s="451"/>
      <c r="E77" s="451"/>
      <c r="F77" s="451"/>
      <c r="G77" s="451"/>
      <c r="H77" s="451"/>
      <c r="I77" s="451"/>
      <c r="J77" s="451"/>
      <c r="K77" s="451"/>
      <c r="L77" s="451"/>
      <c r="M77" s="451"/>
      <c r="N77" s="451"/>
      <c r="O77" s="451"/>
      <c r="P77" s="451"/>
      <c r="Q77" s="451"/>
      <c r="R77" s="451"/>
      <c r="S77" s="451"/>
      <c r="T77" s="451"/>
      <c r="U77" s="451"/>
      <c r="V77" s="451"/>
      <c r="W77" s="451"/>
      <c r="X77" s="451"/>
      <c r="Y77" s="451"/>
      <c r="Z77" s="451"/>
      <c r="AA77" s="451"/>
      <c r="AB77" s="451"/>
      <c r="AC77" s="451"/>
      <c r="AD77" s="451"/>
      <c r="AE77" s="451"/>
      <c r="AF77" s="451"/>
      <c r="AG77" s="451"/>
      <c r="AH77" s="451"/>
      <c r="AI77" s="451"/>
      <c r="AJ77" s="451"/>
      <c r="AK77" s="451"/>
      <c r="AL77" s="451"/>
      <c r="AM77" s="451"/>
      <c r="AN77" s="451"/>
      <c r="AO77" s="451"/>
      <c r="AP77" s="451"/>
      <c r="AQ77" s="451"/>
      <c r="AR77" s="451"/>
      <c r="AS77" s="451"/>
    </row>
    <row r="79" spans="1:45">
      <c r="A79" s="468" t="s">
        <v>106</v>
      </c>
      <c r="B79" s="468"/>
      <c r="C79" s="468"/>
      <c r="D79" s="468"/>
      <c r="E79" s="468"/>
      <c r="F79" s="468"/>
      <c r="G79" s="468"/>
      <c r="H79" s="468"/>
      <c r="I79" s="468"/>
      <c r="J79" s="468"/>
      <c r="K79" s="468"/>
      <c r="L79" s="468"/>
      <c r="M79" s="468"/>
      <c r="N79" s="468"/>
      <c r="O79" s="468"/>
      <c r="P79" s="468"/>
      <c r="Q79" s="468"/>
      <c r="R79" s="468"/>
      <c r="S79" s="468"/>
      <c r="T79" s="468"/>
      <c r="U79" s="468"/>
      <c r="V79" s="468"/>
      <c r="W79" s="468"/>
      <c r="X79" s="468"/>
      <c r="Y79" s="468"/>
      <c r="Z79" s="468"/>
      <c r="AA79" s="468"/>
      <c r="AB79" s="468"/>
      <c r="AC79" s="468"/>
      <c r="AD79" s="468"/>
      <c r="AE79" s="468"/>
      <c r="AF79" s="468"/>
      <c r="AG79" s="468"/>
      <c r="AH79" s="468"/>
      <c r="AI79" s="468"/>
      <c r="AJ79" s="468"/>
      <c r="AK79" s="468"/>
      <c r="AL79" s="468"/>
      <c r="AM79" s="468"/>
      <c r="AN79" s="468"/>
      <c r="AO79" s="468"/>
      <c r="AP79" s="468"/>
      <c r="AQ79" s="468"/>
      <c r="AR79" s="468"/>
      <c r="AS79" s="468"/>
    </row>
    <row r="81" spans="1:45">
      <c r="A81" s="451" t="s">
        <v>213</v>
      </c>
      <c r="B81" s="451"/>
      <c r="C81" s="451"/>
      <c r="D81" s="451"/>
      <c r="E81" s="451"/>
      <c r="F81" s="451"/>
      <c r="G81" s="451"/>
      <c r="H81" s="451"/>
      <c r="I81" s="451"/>
      <c r="J81" s="451"/>
      <c r="K81" s="451"/>
      <c r="L81" s="451"/>
      <c r="M81" s="451"/>
      <c r="N81" s="451"/>
      <c r="O81" s="451"/>
      <c r="P81" s="45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1"/>
      <c r="AN81" s="451"/>
      <c r="AO81" s="451"/>
      <c r="AP81" s="451"/>
      <c r="AQ81" s="451"/>
      <c r="AR81" s="451"/>
      <c r="AS81" s="451"/>
    </row>
    <row r="82" spans="1:45">
      <c r="A82" s="451"/>
      <c r="B82" s="451"/>
      <c r="C82" s="451"/>
      <c r="D82" s="451"/>
      <c r="E82" s="451"/>
      <c r="F82" s="451"/>
      <c r="G82" s="451"/>
      <c r="H82" s="451"/>
      <c r="I82" s="451"/>
      <c r="J82" s="451"/>
      <c r="K82" s="451"/>
      <c r="L82" s="451"/>
      <c r="M82" s="451"/>
      <c r="N82" s="451"/>
      <c r="O82" s="451"/>
      <c r="P82" s="451"/>
      <c r="Q82" s="451"/>
      <c r="R82" s="451"/>
      <c r="S82" s="451"/>
      <c r="T82" s="451"/>
      <c r="U82" s="451"/>
      <c r="V82" s="451"/>
      <c r="W82" s="451"/>
      <c r="X82" s="451"/>
      <c r="Y82" s="451"/>
      <c r="Z82" s="451"/>
      <c r="AA82" s="451"/>
      <c r="AB82" s="451"/>
      <c r="AC82" s="451"/>
      <c r="AD82" s="451"/>
      <c r="AE82" s="451"/>
      <c r="AF82" s="451"/>
      <c r="AG82" s="451"/>
      <c r="AH82" s="451"/>
      <c r="AI82" s="451"/>
      <c r="AJ82" s="451"/>
      <c r="AK82" s="451"/>
      <c r="AL82" s="451"/>
      <c r="AM82" s="451"/>
      <c r="AN82" s="451"/>
      <c r="AO82" s="451"/>
      <c r="AP82" s="451"/>
      <c r="AQ82" s="451"/>
      <c r="AR82" s="451"/>
      <c r="AS82" s="451"/>
    </row>
    <row r="83" spans="1:45">
      <c r="A83" s="451"/>
      <c r="B83" s="451"/>
      <c r="C83" s="451"/>
      <c r="D83" s="451"/>
      <c r="E83" s="451"/>
      <c r="F83" s="451"/>
      <c r="G83" s="451"/>
      <c r="H83" s="451"/>
      <c r="I83" s="451"/>
      <c r="J83" s="451"/>
      <c r="K83" s="451"/>
      <c r="L83" s="451"/>
      <c r="M83" s="451"/>
      <c r="N83" s="451"/>
      <c r="O83" s="451"/>
      <c r="P83" s="451"/>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1"/>
      <c r="AN83" s="451"/>
      <c r="AO83" s="451"/>
      <c r="AP83" s="451"/>
      <c r="AQ83" s="451"/>
      <c r="AR83" s="451"/>
      <c r="AS83" s="451"/>
    </row>
    <row r="84" spans="1:45">
      <c r="A84" s="451"/>
      <c r="B84" s="451"/>
      <c r="C84" s="451"/>
      <c r="D84" s="451"/>
      <c r="E84" s="451"/>
      <c r="F84" s="451"/>
      <c r="G84" s="451"/>
      <c r="H84" s="451"/>
      <c r="I84" s="451"/>
      <c r="J84" s="451"/>
      <c r="K84" s="451"/>
      <c r="L84" s="451"/>
      <c r="M84" s="451"/>
      <c r="N84" s="451"/>
      <c r="O84" s="451"/>
      <c r="P84" s="451"/>
      <c r="Q84" s="451"/>
      <c r="R84" s="451"/>
      <c r="S84" s="451"/>
      <c r="T84" s="451"/>
      <c r="U84" s="451"/>
      <c r="V84" s="451"/>
      <c r="W84" s="451"/>
      <c r="X84" s="451"/>
      <c r="Y84" s="451"/>
      <c r="Z84" s="451"/>
      <c r="AA84" s="451"/>
      <c r="AB84" s="451"/>
      <c r="AC84" s="451"/>
      <c r="AD84" s="451"/>
      <c r="AE84" s="451"/>
      <c r="AF84" s="451"/>
      <c r="AG84" s="451"/>
      <c r="AH84" s="451"/>
      <c r="AI84" s="451"/>
      <c r="AJ84" s="451"/>
      <c r="AK84" s="451"/>
      <c r="AL84" s="451"/>
      <c r="AM84" s="451"/>
      <c r="AN84" s="451"/>
      <c r="AO84" s="451"/>
      <c r="AP84" s="451"/>
      <c r="AQ84" s="451"/>
      <c r="AR84" s="451"/>
      <c r="AS84" s="451"/>
    </row>
    <row r="85" spans="1:45">
      <c r="A85" s="451"/>
      <c r="B85" s="451"/>
      <c r="C85" s="451"/>
      <c r="D85" s="451"/>
      <c r="E85" s="451"/>
      <c r="F85" s="451"/>
      <c r="G85" s="451"/>
      <c r="H85" s="451"/>
      <c r="I85" s="451"/>
      <c r="J85" s="451"/>
      <c r="K85" s="451"/>
      <c r="L85" s="451"/>
      <c r="M85" s="451"/>
      <c r="N85" s="451"/>
      <c r="O85" s="451"/>
      <c r="P85" s="451"/>
      <c r="Q85" s="451"/>
      <c r="R85" s="451"/>
      <c r="S85" s="451"/>
      <c r="T85" s="451"/>
      <c r="U85" s="451"/>
      <c r="V85" s="451"/>
      <c r="W85" s="451"/>
      <c r="X85" s="451"/>
      <c r="Y85" s="451"/>
      <c r="Z85" s="451"/>
      <c r="AA85" s="451"/>
      <c r="AB85" s="451"/>
      <c r="AC85" s="451"/>
      <c r="AD85" s="451"/>
      <c r="AE85" s="451"/>
      <c r="AF85" s="451"/>
      <c r="AG85" s="451"/>
      <c r="AH85" s="451"/>
      <c r="AI85" s="451"/>
      <c r="AJ85" s="451"/>
      <c r="AK85" s="451"/>
      <c r="AL85" s="451"/>
      <c r="AM85" s="451"/>
      <c r="AN85" s="451"/>
      <c r="AO85" s="451"/>
      <c r="AP85" s="451"/>
      <c r="AQ85" s="451"/>
      <c r="AR85" s="451"/>
      <c r="AS85" s="451"/>
    </row>
    <row r="86" spans="1:45">
      <c r="A86" s="451"/>
      <c r="B86" s="451"/>
      <c r="C86" s="451"/>
      <c r="D86" s="451"/>
      <c r="E86" s="451"/>
      <c r="F86" s="451"/>
      <c r="G86" s="451"/>
      <c r="H86" s="451"/>
      <c r="I86" s="451"/>
      <c r="J86" s="451"/>
      <c r="K86" s="451"/>
      <c r="L86" s="451"/>
      <c r="M86" s="451"/>
      <c r="N86" s="451"/>
      <c r="O86" s="451"/>
      <c r="P86" s="451"/>
      <c r="Q86" s="451"/>
      <c r="R86" s="451"/>
      <c r="S86" s="451"/>
      <c r="T86" s="451"/>
      <c r="U86" s="451"/>
      <c r="V86" s="451"/>
      <c r="W86" s="451"/>
      <c r="X86" s="451"/>
      <c r="Y86" s="451"/>
      <c r="Z86" s="451"/>
      <c r="AA86" s="451"/>
      <c r="AB86" s="451"/>
      <c r="AC86" s="451"/>
      <c r="AD86" s="451"/>
      <c r="AE86" s="451"/>
      <c r="AF86" s="451"/>
      <c r="AG86" s="451"/>
      <c r="AH86" s="451"/>
      <c r="AI86" s="451"/>
      <c r="AJ86" s="451"/>
      <c r="AK86" s="451"/>
      <c r="AL86" s="451"/>
      <c r="AM86" s="451"/>
      <c r="AN86" s="451"/>
      <c r="AO86" s="451"/>
      <c r="AP86" s="451"/>
      <c r="AQ86" s="451"/>
      <c r="AR86" s="451"/>
      <c r="AS86" s="451"/>
    </row>
    <row r="87" spans="1:45">
      <c r="A87" s="451"/>
      <c r="B87" s="451"/>
      <c r="C87" s="451"/>
      <c r="D87" s="451"/>
      <c r="E87" s="451"/>
      <c r="F87" s="451"/>
      <c r="G87" s="451"/>
      <c r="H87" s="451"/>
      <c r="I87" s="451"/>
      <c r="J87" s="451"/>
      <c r="K87" s="451"/>
      <c r="L87" s="451"/>
      <c r="M87" s="451"/>
      <c r="N87" s="451"/>
      <c r="O87" s="451"/>
      <c r="P87" s="451"/>
      <c r="Q87" s="451"/>
      <c r="R87" s="451"/>
      <c r="S87" s="451"/>
      <c r="T87" s="451"/>
      <c r="U87" s="451"/>
      <c r="V87" s="451"/>
      <c r="W87" s="451"/>
      <c r="X87" s="451"/>
      <c r="Y87" s="451"/>
      <c r="Z87" s="451"/>
      <c r="AA87" s="451"/>
      <c r="AB87" s="451"/>
      <c r="AC87" s="451"/>
      <c r="AD87" s="451"/>
      <c r="AE87" s="451"/>
      <c r="AF87" s="451"/>
      <c r="AG87" s="451"/>
      <c r="AH87" s="451"/>
      <c r="AI87" s="451"/>
      <c r="AJ87" s="451"/>
      <c r="AK87" s="451"/>
      <c r="AL87" s="451"/>
      <c r="AM87" s="451"/>
      <c r="AN87" s="451"/>
      <c r="AO87" s="451"/>
      <c r="AP87" s="451"/>
      <c r="AQ87" s="451"/>
      <c r="AR87" s="451"/>
      <c r="AS87" s="451"/>
    </row>
    <row r="88" spans="1:45">
      <c r="A88" s="451"/>
      <c r="B88" s="451"/>
      <c r="C88" s="451"/>
      <c r="D88" s="451"/>
      <c r="E88" s="451"/>
      <c r="F88" s="451"/>
      <c r="G88" s="451"/>
      <c r="H88" s="451"/>
      <c r="I88" s="451"/>
      <c r="J88" s="451"/>
      <c r="K88" s="451"/>
      <c r="L88" s="451"/>
      <c r="M88" s="451"/>
      <c r="N88" s="451"/>
      <c r="O88" s="451"/>
      <c r="P88" s="451"/>
      <c r="Q88" s="451"/>
      <c r="R88" s="451"/>
      <c r="S88" s="451"/>
      <c r="T88" s="451"/>
      <c r="U88" s="451"/>
      <c r="V88" s="451"/>
      <c r="W88" s="451"/>
      <c r="X88" s="451"/>
      <c r="Y88" s="451"/>
      <c r="Z88" s="451"/>
      <c r="AA88" s="451"/>
      <c r="AB88" s="451"/>
      <c r="AC88" s="451"/>
      <c r="AD88" s="451"/>
      <c r="AE88" s="451"/>
      <c r="AF88" s="451"/>
      <c r="AG88" s="451"/>
      <c r="AH88" s="451"/>
      <c r="AI88" s="451"/>
      <c r="AJ88" s="451"/>
      <c r="AK88" s="451"/>
      <c r="AL88" s="451"/>
      <c r="AM88" s="451"/>
      <c r="AN88" s="451"/>
      <c r="AO88" s="451"/>
      <c r="AP88" s="451"/>
      <c r="AQ88" s="451"/>
      <c r="AR88" s="451"/>
      <c r="AS88" s="451"/>
    </row>
    <row r="89" spans="1:45">
      <c r="A89" s="451"/>
      <c r="B89" s="451"/>
      <c r="C89" s="451"/>
      <c r="D89" s="451"/>
      <c r="E89" s="451"/>
      <c r="F89" s="451"/>
      <c r="G89" s="451"/>
      <c r="H89" s="451"/>
      <c r="I89" s="451"/>
      <c r="J89" s="451"/>
      <c r="K89" s="451"/>
      <c r="L89" s="451"/>
      <c r="M89" s="451"/>
      <c r="N89" s="451"/>
      <c r="O89" s="451"/>
      <c r="P89" s="451"/>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row>
    <row r="90" spans="1:45">
      <c r="A90" s="451"/>
      <c r="B90" s="451"/>
      <c r="C90" s="451"/>
      <c r="D90" s="451"/>
      <c r="E90" s="451"/>
      <c r="F90" s="451"/>
      <c r="G90" s="451"/>
      <c r="H90" s="451"/>
      <c r="I90" s="451"/>
      <c r="J90" s="451"/>
      <c r="K90" s="451"/>
      <c r="L90" s="451"/>
      <c r="M90" s="451"/>
      <c r="N90" s="451"/>
      <c r="O90" s="451"/>
      <c r="P90" s="451"/>
      <c r="Q90" s="451"/>
      <c r="R90" s="451"/>
      <c r="S90" s="451"/>
      <c r="T90" s="451"/>
      <c r="U90" s="451"/>
      <c r="V90" s="451"/>
      <c r="W90" s="451"/>
      <c r="X90" s="451"/>
      <c r="Y90" s="451"/>
      <c r="Z90" s="451"/>
      <c r="AA90" s="451"/>
      <c r="AB90" s="451"/>
      <c r="AC90" s="451"/>
      <c r="AD90" s="451"/>
      <c r="AE90" s="451"/>
      <c r="AF90" s="451"/>
      <c r="AG90" s="451"/>
      <c r="AH90" s="451"/>
      <c r="AI90" s="451"/>
      <c r="AJ90" s="451"/>
      <c r="AK90" s="451"/>
      <c r="AL90" s="451"/>
      <c r="AM90" s="451"/>
      <c r="AN90" s="451"/>
      <c r="AO90" s="451"/>
      <c r="AP90" s="451"/>
      <c r="AQ90" s="451"/>
      <c r="AR90" s="451"/>
      <c r="AS90" s="451"/>
    </row>
    <row r="91" spans="1:45">
      <c r="A91" s="451"/>
      <c r="B91" s="451"/>
      <c r="C91" s="451"/>
      <c r="D91" s="451"/>
      <c r="E91" s="451"/>
      <c r="F91" s="451"/>
      <c r="G91" s="451"/>
      <c r="H91" s="451"/>
      <c r="I91" s="451"/>
      <c r="J91" s="451"/>
      <c r="K91" s="451"/>
      <c r="L91" s="451"/>
      <c r="M91" s="451"/>
      <c r="N91" s="451"/>
      <c r="O91" s="451"/>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row>
    <row r="93" spans="1:45">
      <c r="A93" s="468" t="s">
        <v>107</v>
      </c>
      <c r="B93" s="468"/>
      <c r="C93" s="468"/>
      <c r="D93" s="468"/>
      <c r="E93" s="468"/>
      <c r="F93" s="468"/>
      <c r="G93" s="468"/>
      <c r="H93" s="468"/>
      <c r="I93" s="468"/>
      <c r="J93" s="468"/>
      <c r="K93" s="468"/>
      <c r="L93" s="468"/>
      <c r="M93" s="468"/>
      <c r="N93" s="468"/>
      <c r="O93" s="468"/>
      <c r="P93" s="468"/>
      <c r="Q93" s="468"/>
      <c r="R93" s="468"/>
      <c r="S93" s="468"/>
      <c r="T93" s="468"/>
      <c r="U93" s="468"/>
      <c r="V93" s="468"/>
      <c r="W93" s="468"/>
      <c r="X93" s="468"/>
      <c r="Y93" s="468"/>
      <c r="Z93" s="468"/>
      <c r="AA93" s="468"/>
      <c r="AB93" s="468"/>
      <c r="AC93" s="468"/>
      <c r="AD93" s="468"/>
      <c r="AE93" s="468"/>
      <c r="AF93" s="468"/>
      <c r="AG93" s="468"/>
      <c r="AH93" s="468"/>
      <c r="AI93" s="468"/>
      <c r="AJ93" s="468"/>
      <c r="AK93" s="468"/>
      <c r="AL93" s="468"/>
      <c r="AM93" s="468"/>
      <c r="AN93" s="468"/>
      <c r="AO93" s="468"/>
      <c r="AP93" s="468"/>
      <c r="AQ93" s="468"/>
      <c r="AR93" s="468"/>
      <c r="AS93" s="468"/>
    </row>
    <row r="95" spans="1:45">
      <c r="A95" s="448" t="s">
        <v>212</v>
      </c>
      <c r="B95" s="448"/>
      <c r="C95" s="448"/>
      <c r="D95" s="448"/>
      <c r="E95" s="448"/>
      <c r="F95" s="448"/>
      <c r="G95" s="448"/>
      <c r="H95" s="448"/>
      <c r="I95" s="448"/>
      <c r="J95" s="448"/>
      <c r="K95" s="448"/>
      <c r="L95" s="448"/>
      <c r="M95" s="448"/>
      <c r="N95" s="448"/>
      <c r="O95" s="448"/>
      <c r="P95" s="448"/>
      <c r="Q95" s="448"/>
      <c r="R95" s="448"/>
      <c r="S95" s="448"/>
      <c r="T95" s="448"/>
      <c r="U95" s="448"/>
      <c r="V95" s="448"/>
      <c r="W95" s="448"/>
      <c r="X95" s="448"/>
      <c r="Y95" s="448"/>
      <c r="Z95" s="448"/>
      <c r="AA95" s="448"/>
      <c r="AB95" s="448"/>
      <c r="AC95" s="448"/>
      <c r="AD95" s="448"/>
      <c r="AE95" s="448"/>
      <c r="AF95" s="448"/>
      <c r="AG95" s="448"/>
      <c r="AH95" s="448"/>
      <c r="AI95" s="448"/>
      <c r="AJ95" s="448"/>
      <c r="AK95" s="448"/>
      <c r="AL95" s="448"/>
      <c r="AM95" s="448"/>
      <c r="AN95" s="448"/>
      <c r="AO95" s="448"/>
      <c r="AP95" s="448"/>
      <c r="AQ95" s="448"/>
      <c r="AR95" s="448"/>
      <c r="AS95" s="448"/>
    </row>
    <row r="96" spans="1:45">
      <c r="A96" s="448"/>
      <c r="B96" s="448"/>
      <c r="C96" s="448"/>
      <c r="D96" s="448"/>
      <c r="E96" s="448"/>
      <c r="F96" s="448"/>
      <c r="G96" s="448"/>
      <c r="H96" s="448"/>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c r="AF96" s="448"/>
      <c r="AG96" s="448"/>
      <c r="AH96" s="448"/>
      <c r="AI96" s="448"/>
      <c r="AJ96" s="448"/>
      <c r="AK96" s="448"/>
      <c r="AL96" s="448"/>
      <c r="AM96" s="448"/>
      <c r="AN96" s="448"/>
      <c r="AO96" s="448"/>
      <c r="AP96" s="448"/>
      <c r="AQ96" s="448"/>
      <c r="AR96" s="448"/>
      <c r="AS96" s="448"/>
    </row>
    <row r="97" spans="1:45">
      <c r="A97" s="448"/>
      <c r="B97" s="448"/>
      <c r="C97" s="448"/>
      <c r="D97" s="448"/>
      <c r="E97" s="448"/>
      <c r="F97" s="448"/>
      <c r="G97" s="448"/>
      <c r="H97" s="448"/>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c r="AF97" s="448"/>
      <c r="AG97" s="448"/>
      <c r="AH97" s="448"/>
      <c r="AI97" s="448"/>
      <c r="AJ97" s="448"/>
      <c r="AK97" s="448"/>
      <c r="AL97" s="448"/>
      <c r="AM97" s="448"/>
      <c r="AN97" s="448"/>
      <c r="AO97" s="448"/>
      <c r="AP97" s="448"/>
      <c r="AQ97" s="448"/>
      <c r="AR97" s="448"/>
      <c r="AS97" s="448"/>
    </row>
    <row r="98" spans="1:45">
      <c r="A98" s="448"/>
      <c r="B98" s="448"/>
      <c r="C98" s="448"/>
      <c r="D98" s="448"/>
      <c r="E98" s="448"/>
      <c r="F98" s="448"/>
      <c r="G98" s="448"/>
      <c r="H98" s="448"/>
      <c r="I98" s="448"/>
      <c r="J98" s="448"/>
      <c r="K98" s="448"/>
      <c r="L98" s="448"/>
      <c r="M98" s="448"/>
      <c r="N98" s="448"/>
      <c r="O98" s="448"/>
      <c r="P98" s="448"/>
      <c r="Q98" s="448"/>
      <c r="R98" s="448"/>
      <c r="S98" s="448"/>
      <c r="T98" s="448"/>
      <c r="U98" s="448"/>
      <c r="V98" s="448"/>
      <c r="W98" s="448"/>
      <c r="X98" s="448"/>
      <c r="Y98" s="448"/>
      <c r="Z98" s="448"/>
      <c r="AA98" s="448"/>
      <c r="AB98" s="448"/>
      <c r="AC98" s="448"/>
      <c r="AD98" s="448"/>
      <c r="AE98" s="448"/>
      <c r="AF98" s="448"/>
      <c r="AG98" s="448"/>
      <c r="AH98" s="448"/>
      <c r="AI98" s="448"/>
      <c r="AJ98" s="448"/>
      <c r="AK98" s="448"/>
      <c r="AL98" s="448"/>
      <c r="AM98" s="448"/>
      <c r="AN98" s="448"/>
      <c r="AO98" s="448"/>
      <c r="AP98" s="448"/>
      <c r="AQ98" s="448"/>
      <c r="AR98" s="448"/>
      <c r="AS98" s="448"/>
    </row>
    <row r="100" spans="1:45">
      <c r="A100" s="468" t="s">
        <v>108</v>
      </c>
      <c r="B100" s="468"/>
      <c r="C100" s="468"/>
      <c r="D100" s="468"/>
      <c r="E100" s="468"/>
      <c r="F100" s="468"/>
      <c r="G100" s="468"/>
      <c r="H100" s="468"/>
      <c r="I100" s="468"/>
      <c r="J100" s="468"/>
      <c r="K100" s="468"/>
      <c r="L100" s="468"/>
      <c r="M100" s="468"/>
      <c r="N100" s="468"/>
      <c r="O100" s="468"/>
      <c r="P100" s="468"/>
      <c r="Q100" s="468"/>
      <c r="R100" s="468"/>
      <c r="S100" s="468"/>
      <c r="T100" s="468"/>
      <c r="U100" s="468"/>
      <c r="V100" s="468"/>
      <c r="W100" s="468"/>
      <c r="X100" s="468"/>
      <c r="Y100" s="468"/>
      <c r="Z100" s="468"/>
      <c r="AA100" s="468"/>
      <c r="AB100" s="468"/>
      <c r="AC100" s="468"/>
      <c r="AD100" s="468"/>
      <c r="AE100" s="468"/>
      <c r="AF100" s="468"/>
      <c r="AG100" s="468"/>
      <c r="AH100" s="468"/>
      <c r="AI100" s="468"/>
      <c r="AJ100" s="468"/>
      <c r="AK100" s="468"/>
      <c r="AL100" s="468"/>
      <c r="AM100" s="468"/>
      <c r="AN100" s="468"/>
      <c r="AO100" s="468"/>
      <c r="AP100" s="468"/>
      <c r="AQ100" s="468"/>
      <c r="AR100" s="468"/>
      <c r="AS100" s="468"/>
    </row>
    <row r="102" spans="1:45">
      <c r="A102" s="448" t="s">
        <v>214</v>
      </c>
      <c r="B102" s="448"/>
      <c r="C102" s="448"/>
      <c r="D102" s="448"/>
      <c r="E102" s="448"/>
      <c r="F102" s="448"/>
      <c r="G102" s="448"/>
      <c r="H102" s="448"/>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c r="AF102" s="448"/>
      <c r="AG102" s="448"/>
      <c r="AH102" s="448"/>
      <c r="AI102" s="448"/>
      <c r="AJ102" s="448"/>
      <c r="AK102" s="448"/>
      <c r="AL102" s="448"/>
      <c r="AM102" s="448"/>
      <c r="AN102" s="448"/>
      <c r="AO102" s="448"/>
      <c r="AP102" s="448"/>
      <c r="AQ102" s="448"/>
      <c r="AR102" s="448"/>
      <c r="AS102" s="448"/>
    </row>
    <row r="103" spans="1:45">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c r="AE103" s="448"/>
      <c r="AF103" s="448"/>
      <c r="AG103" s="448"/>
      <c r="AH103" s="448"/>
      <c r="AI103" s="448"/>
      <c r="AJ103" s="448"/>
      <c r="AK103" s="448"/>
      <c r="AL103" s="448"/>
      <c r="AM103" s="448"/>
      <c r="AN103" s="448"/>
      <c r="AO103" s="448"/>
      <c r="AP103" s="448"/>
      <c r="AQ103" s="448"/>
      <c r="AR103" s="448"/>
      <c r="AS103" s="448"/>
    </row>
    <row r="104" spans="1:45">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c r="AF104" s="448"/>
      <c r="AG104" s="448"/>
      <c r="AH104" s="448"/>
      <c r="AI104" s="448"/>
      <c r="AJ104" s="448"/>
      <c r="AK104" s="448"/>
      <c r="AL104" s="448"/>
      <c r="AM104" s="448"/>
      <c r="AN104" s="448"/>
      <c r="AO104" s="448"/>
      <c r="AP104" s="448"/>
      <c r="AQ104" s="448"/>
      <c r="AR104" s="448"/>
      <c r="AS104" s="448"/>
    </row>
    <row r="105" spans="1:4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c r="AF105" s="448"/>
      <c r="AG105" s="448"/>
      <c r="AH105" s="448"/>
      <c r="AI105" s="448"/>
      <c r="AJ105" s="448"/>
      <c r="AK105" s="448"/>
      <c r="AL105" s="448"/>
      <c r="AM105" s="448"/>
      <c r="AN105" s="448"/>
      <c r="AO105" s="448"/>
      <c r="AP105" s="448"/>
      <c r="AQ105" s="448"/>
      <c r="AR105" s="448"/>
      <c r="AS105" s="448"/>
    </row>
    <row r="106" spans="1:45">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8"/>
      <c r="AH106" s="448"/>
      <c r="AI106" s="448"/>
      <c r="AJ106" s="448"/>
      <c r="AK106" s="448"/>
      <c r="AL106" s="448"/>
      <c r="AM106" s="448"/>
      <c r="AN106" s="448"/>
      <c r="AO106" s="448"/>
      <c r="AP106" s="448"/>
      <c r="AQ106" s="448"/>
      <c r="AR106" s="448"/>
      <c r="AS106" s="448"/>
    </row>
    <row r="108" spans="1:45">
      <c r="A108" s="468" t="s">
        <v>109</v>
      </c>
      <c r="B108" s="468"/>
      <c r="C108" s="468"/>
      <c r="D108" s="468"/>
      <c r="E108" s="468"/>
      <c r="F108" s="468"/>
      <c r="G108" s="468"/>
      <c r="H108" s="468"/>
      <c r="I108" s="468"/>
      <c r="J108" s="468"/>
      <c r="K108" s="468"/>
      <c r="L108" s="468"/>
      <c r="M108" s="468"/>
      <c r="N108" s="468"/>
      <c r="O108" s="468"/>
      <c r="P108" s="468"/>
      <c r="Q108" s="468"/>
      <c r="R108" s="468"/>
      <c r="S108" s="468"/>
      <c r="T108" s="468"/>
      <c r="U108" s="468"/>
      <c r="V108" s="468"/>
      <c r="W108" s="468"/>
      <c r="X108" s="468"/>
      <c r="Y108" s="468"/>
      <c r="Z108" s="468"/>
      <c r="AA108" s="468"/>
      <c r="AB108" s="468"/>
      <c r="AC108" s="468"/>
      <c r="AD108" s="468"/>
      <c r="AE108" s="468"/>
      <c r="AF108" s="468"/>
      <c r="AG108" s="468"/>
      <c r="AH108" s="468"/>
      <c r="AI108" s="468"/>
      <c r="AJ108" s="468"/>
      <c r="AK108" s="468"/>
      <c r="AL108" s="468"/>
      <c r="AM108" s="468"/>
      <c r="AN108" s="468"/>
      <c r="AO108" s="468"/>
      <c r="AP108" s="468"/>
      <c r="AQ108" s="468"/>
      <c r="AR108" s="468"/>
      <c r="AS108" s="468"/>
    </row>
    <row r="110" spans="1:45">
      <c r="A110" s="448" t="s">
        <v>229</v>
      </c>
      <c r="B110" s="44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8"/>
      <c r="AH110" s="448"/>
      <c r="AI110" s="448"/>
      <c r="AJ110" s="448"/>
      <c r="AK110" s="448"/>
      <c r="AL110" s="448"/>
      <c r="AM110" s="448"/>
      <c r="AN110" s="448"/>
      <c r="AO110" s="448"/>
      <c r="AP110" s="448"/>
      <c r="AQ110" s="448"/>
      <c r="AR110" s="448"/>
      <c r="AS110" s="448"/>
    </row>
    <row r="111" spans="1:45">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c r="AF111" s="448"/>
      <c r="AG111" s="448"/>
      <c r="AH111" s="448"/>
      <c r="AI111" s="448"/>
      <c r="AJ111" s="448"/>
      <c r="AK111" s="448"/>
      <c r="AL111" s="448"/>
      <c r="AM111" s="448"/>
      <c r="AN111" s="448"/>
      <c r="AO111" s="448"/>
      <c r="AP111" s="448"/>
      <c r="AQ111" s="448"/>
      <c r="AR111" s="448"/>
      <c r="AS111" s="448"/>
    </row>
    <row r="112" spans="1:45">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8"/>
      <c r="AH112" s="448"/>
      <c r="AI112" s="448"/>
      <c r="AJ112" s="448"/>
      <c r="AK112" s="448"/>
      <c r="AL112" s="448"/>
      <c r="AM112" s="448"/>
      <c r="AN112" s="448"/>
      <c r="AO112" s="448"/>
      <c r="AP112" s="448"/>
      <c r="AQ112" s="448"/>
      <c r="AR112" s="448"/>
      <c r="AS112" s="448"/>
    </row>
    <row r="113" spans="1:45">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c r="W113" s="448"/>
      <c r="X113" s="448"/>
      <c r="Y113" s="448"/>
      <c r="Z113" s="448"/>
      <c r="AA113" s="448"/>
      <c r="AB113" s="448"/>
      <c r="AC113" s="448"/>
      <c r="AD113" s="448"/>
      <c r="AE113" s="448"/>
      <c r="AF113" s="448"/>
      <c r="AG113" s="448"/>
      <c r="AH113" s="448"/>
      <c r="AI113" s="448"/>
      <c r="AJ113" s="448"/>
      <c r="AK113" s="448"/>
      <c r="AL113" s="448"/>
      <c r="AM113" s="448"/>
      <c r="AN113" s="448"/>
      <c r="AO113" s="448"/>
      <c r="AP113" s="448"/>
      <c r="AQ113" s="448"/>
      <c r="AR113" s="448"/>
      <c r="AS113" s="448"/>
    </row>
    <row r="114" spans="1:45">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c r="W114" s="448"/>
      <c r="X114" s="448"/>
      <c r="Y114" s="448"/>
      <c r="Z114" s="448"/>
      <c r="AA114" s="448"/>
      <c r="AB114" s="448"/>
      <c r="AC114" s="448"/>
      <c r="AD114" s="448"/>
      <c r="AE114" s="448"/>
      <c r="AF114" s="448"/>
      <c r="AG114" s="448"/>
      <c r="AH114" s="448"/>
      <c r="AI114" s="448"/>
      <c r="AJ114" s="448"/>
      <c r="AK114" s="448"/>
      <c r="AL114" s="448"/>
      <c r="AM114" s="448"/>
      <c r="AN114" s="448"/>
      <c r="AO114" s="448"/>
      <c r="AP114" s="448"/>
      <c r="AQ114" s="448"/>
      <c r="AR114" s="448"/>
      <c r="AS114" s="448"/>
    </row>
    <row r="116" spans="1:45">
      <c r="A116" s="468" t="s">
        <v>110</v>
      </c>
      <c r="B116" s="468"/>
      <c r="C116" s="468"/>
      <c r="D116" s="468"/>
      <c r="E116" s="468"/>
      <c r="F116" s="468"/>
      <c r="G116" s="468"/>
      <c r="H116" s="468"/>
      <c r="I116" s="468"/>
      <c r="J116" s="468"/>
      <c r="K116" s="468"/>
      <c r="L116" s="468"/>
      <c r="M116" s="468"/>
      <c r="N116" s="468"/>
      <c r="O116" s="468"/>
      <c r="P116" s="468"/>
      <c r="Q116" s="468"/>
      <c r="R116" s="468"/>
      <c r="S116" s="468"/>
      <c r="T116" s="468"/>
      <c r="U116" s="468"/>
      <c r="V116" s="468"/>
      <c r="W116" s="468"/>
      <c r="X116" s="468"/>
      <c r="Y116" s="468"/>
      <c r="Z116" s="468"/>
      <c r="AA116" s="468"/>
      <c r="AB116" s="468"/>
      <c r="AC116" s="468"/>
      <c r="AD116" s="468"/>
      <c r="AE116" s="468"/>
      <c r="AF116" s="468"/>
      <c r="AG116" s="468"/>
      <c r="AH116" s="468"/>
      <c r="AI116" s="468"/>
      <c r="AJ116" s="468"/>
      <c r="AK116" s="468"/>
      <c r="AL116" s="468"/>
      <c r="AM116" s="468"/>
      <c r="AN116" s="468"/>
      <c r="AO116" s="468"/>
      <c r="AP116" s="468"/>
      <c r="AQ116" s="468"/>
      <c r="AR116" s="468"/>
      <c r="AS116" s="468"/>
    </row>
    <row r="118" spans="1:45">
      <c r="A118" s="449" t="s">
        <v>215</v>
      </c>
      <c r="B118" s="449"/>
      <c r="C118" s="449"/>
      <c r="D118" s="449"/>
      <c r="E118" s="449"/>
      <c r="F118" s="449"/>
      <c r="G118" s="449"/>
      <c r="H118" s="449"/>
      <c r="I118" s="449"/>
      <c r="J118" s="449"/>
      <c r="K118" s="449"/>
      <c r="L118" s="449"/>
      <c r="M118" s="449"/>
      <c r="N118" s="449"/>
      <c r="O118" s="449"/>
      <c r="P118" s="449"/>
      <c r="Q118" s="449"/>
      <c r="R118" s="449"/>
      <c r="S118" s="449"/>
      <c r="T118" s="449"/>
      <c r="U118" s="449"/>
      <c r="V118" s="449"/>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row>
    <row r="119" spans="1:45">
      <c r="A119" s="449"/>
      <c r="B119" s="449"/>
      <c r="C119" s="449"/>
      <c r="D119" s="449"/>
      <c r="E119" s="449"/>
      <c r="F119" s="449"/>
      <c r="G119" s="449"/>
      <c r="H119" s="449"/>
      <c r="I119" s="449"/>
      <c r="J119" s="449"/>
      <c r="K119" s="449"/>
      <c r="L119" s="449"/>
      <c r="M119" s="449"/>
      <c r="N119" s="449"/>
      <c r="O119" s="449"/>
      <c r="P119" s="449"/>
      <c r="Q119" s="449"/>
      <c r="R119" s="449"/>
      <c r="S119" s="449"/>
      <c r="T119" s="449"/>
      <c r="U119" s="449"/>
      <c r="V119" s="449"/>
      <c r="W119" s="449"/>
      <c r="X119" s="449"/>
      <c r="Y119" s="449"/>
      <c r="Z119" s="449"/>
      <c r="AA119" s="449"/>
      <c r="AB119" s="449"/>
      <c r="AC119" s="449"/>
      <c r="AD119" s="449"/>
      <c r="AE119" s="449"/>
      <c r="AF119" s="449"/>
      <c r="AG119" s="449"/>
      <c r="AH119" s="449"/>
      <c r="AI119" s="449"/>
      <c r="AJ119" s="449"/>
      <c r="AK119" s="449"/>
      <c r="AL119" s="449"/>
      <c r="AM119" s="449"/>
      <c r="AN119" s="449"/>
      <c r="AO119" s="449"/>
      <c r="AP119" s="449"/>
      <c r="AQ119" s="449"/>
      <c r="AR119" s="449"/>
      <c r="AS119" s="449"/>
    </row>
    <row r="120" spans="1:45">
      <c r="A120" s="449"/>
      <c r="B120" s="449"/>
      <c r="C120" s="449"/>
      <c r="D120" s="449"/>
      <c r="E120" s="449"/>
      <c r="F120" s="449"/>
      <c r="G120" s="449"/>
      <c r="H120" s="449"/>
      <c r="I120" s="449"/>
      <c r="J120" s="449"/>
      <c r="K120" s="449"/>
      <c r="L120" s="449"/>
      <c r="M120" s="449"/>
      <c r="N120" s="449"/>
      <c r="O120" s="449"/>
      <c r="P120" s="449"/>
      <c r="Q120" s="449"/>
      <c r="R120" s="449"/>
      <c r="S120" s="449"/>
      <c r="T120" s="449"/>
      <c r="U120" s="449"/>
      <c r="V120" s="449"/>
      <c r="W120" s="449"/>
      <c r="X120" s="449"/>
      <c r="Y120" s="449"/>
      <c r="Z120" s="449"/>
      <c r="AA120" s="449"/>
      <c r="AB120" s="449"/>
      <c r="AC120" s="449"/>
      <c r="AD120" s="449"/>
      <c r="AE120" s="449"/>
      <c r="AF120" s="449"/>
      <c r="AG120" s="449"/>
      <c r="AH120" s="449"/>
      <c r="AI120" s="449"/>
      <c r="AJ120" s="449"/>
      <c r="AK120" s="449"/>
      <c r="AL120" s="449"/>
      <c r="AM120" s="449"/>
      <c r="AN120" s="449"/>
      <c r="AO120" s="449"/>
      <c r="AP120" s="449"/>
      <c r="AQ120" s="449"/>
      <c r="AR120" s="449"/>
      <c r="AS120" s="449"/>
    </row>
    <row r="121" spans="1:45">
      <c r="A121" s="449"/>
      <c r="B121" s="449"/>
      <c r="C121" s="449"/>
      <c r="D121" s="449"/>
      <c r="E121" s="449"/>
      <c r="F121" s="449"/>
      <c r="G121" s="449"/>
      <c r="H121" s="449"/>
      <c r="I121" s="449"/>
      <c r="J121" s="449"/>
      <c r="K121" s="449"/>
      <c r="L121" s="449"/>
      <c r="M121" s="449"/>
      <c r="N121" s="449"/>
      <c r="O121" s="449"/>
      <c r="P121" s="449"/>
      <c r="Q121" s="449"/>
      <c r="R121" s="449"/>
      <c r="S121" s="449"/>
      <c r="T121" s="449"/>
      <c r="U121" s="449"/>
      <c r="V121" s="449"/>
      <c r="W121" s="449"/>
      <c r="X121" s="449"/>
      <c r="Y121" s="449"/>
      <c r="Z121" s="449"/>
      <c r="AA121" s="449"/>
      <c r="AB121" s="449"/>
      <c r="AC121" s="449"/>
      <c r="AD121" s="449"/>
      <c r="AE121" s="449"/>
      <c r="AF121" s="449"/>
      <c r="AG121" s="449"/>
      <c r="AH121" s="449"/>
      <c r="AI121" s="449"/>
      <c r="AJ121" s="449"/>
      <c r="AK121" s="449"/>
      <c r="AL121" s="449"/>
      <c r="AM121" s="449"/>
      <c r="AN121" s="449"/>
      <c r="AO121" s="449"/>
      <c r="AP121" s="449"/>
      <c r="AQ121" s="449"/>
      <c r="AR121" s="449"/>
      <c r="AS121" s="449"/>
    </row>
    <row r="122" spans="1:45">
      <c r="A122" s="449"/>
      <c r="B122" s="449"/>
      <c r="C122" s="449"/>
      <c r="D122" s="449"/>
      <c r="E122" s="449"/>
      <c r="F122" s="449"/>
      <c r="G122" s="449"/>
      <c r="H122" s="449"/>
      <c r="I122" s="449"/>
      <c r="J122" s="449"/>
      <c r="K122" s="449"/>
      <c r="L122" s="449"/>
      <c r="M122" s="449"/>
      <c r="N122" s="449"/>
      <c r="O122" s="449"/>
      <c r="P122" s="449"/>
      <c r="Q122" s="449"/>
      <c r="R122" s="449"/>
      <c r="S122" s="449"/>
      <c r="T122" s="449"/>
      <c r="U122" s="449"/>
      <c r="V122" s="449"/>
      <c r="W122" s="449"/>
      <c r="X122" s="449"/>
      <c r="Y122" s="449"/>
      <c r="Z122" s="449"/>
      <c r="AA122" s="449"/>
      <c r="AB122" s="449"/>
      <c r="AC122" s="449"/>
      <c r="AD122" s="449"/>
      <c r="AE122" s="449"/>
      <c r="AF122" s="449"/>
      <c r="AG122" s="449"/>
      <c r="AH122" s="449"/>
      <c r="AI122" s="449"/>
      <c r="AJ122" s="449"/>
      <c r="AK122" s="449"/>
      <c r="AL122" s="449"/>
      <c r="AM122" s="449"/>
      <c r="AN122" s="449"/>
      <c r="AO122" s="449"/>
      <c r="AP122" s="449"/>
      <c r="AQ122" s="449"/>
      <c r="AR122" s="449"/>
      <c r="AS122" s="449"/>
    </row>
    <row r="124" spans="1:45">
      <c r="A124" s="468" t="s">
        <v>111</v>
      </c>
      <c r="B124" s="468"/>
      <c r="C124" s="468"/>
      <c r="D124" s="468"/>
      <c r="E124" s="468"/>
      <c r="F124" s="468"/>
      <c r="G124" s="468"/>
      <c r="H124" s="468"/>
      <c r="I124" s="468"/>
      <c r="J124" s="468"/>
      <c r="K124" s="468"/>
      <c r="L124" s="468"/>
      <c r="M124" s="468"/>
      <c r="N124" s="468"/>
      <c r="O124" s="468"/>
      <c r="P124" s="468"/>
      <c r="Q124" s="468"/>
      <c r="R124" s="468"/>
      <c r="S124" s="468"/>
      <c r="T124" s="468"/>
      <c r="U124" s="468"/>
      <c r="V124" s="468"/>
      <c r="W124" s="468"/>
      <c r="X124" s="468"/>
      <c r="Y124" s="468"/>
      <c r="Z124" s="468"/>
      <c r="AA124" s="468"/>
      <c r="AB124" s="468"/>
      <c r="AC124" s="468"/>
      <c r="AD124" s="468"/>
      <c r="AE124" s="468"/>
      <c r="AF124" s="468"/>
      <c r="AG124" s="468"/>
      <c r="AH124" s="468"/>
      <c r="AI124" s="468"/>
      <c r="AJ124" s="468"/>
      <c r="AK124" s="468"/>
      <c r="AL124" s="468"/>
      <c r="AM124" s="468"/>
      <c r="AN124" s="468"/>
      <c r="AO124" s="468"/>
      <c r="AP124" s="468"/>
      <c r="AQ124" s="468"/>
      <c r="AR124" s="468"/>
      <c r="AS124" s="468"/>
    </row>
    <row r="126" spans="1:45">
      <c r="B126" s="94" t="s">
        <v>112</v>
      </c>
    </row>
    <row r="127" spans="1:45">
      <c r="B127" s="452" t="s">
        <v>201</v>
      </c>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row>
    <row r="128" spans="1:45">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row>
    <row r="129" spans="2:42">
      <c r="B129" s="163" t="s">
        <v>254</v>
      </c>
    </row>
    <row r="130" spans="2:42">
      <c r="B130" s="94" t="s">
        <v>113</v>
      </c>
    </row>
    <row r="131" spans="2:42">
      <c r="B131" s="95" t="s">
        <v>273</v>
      </c>
    </row>
    <row r="132" spans="2:42">
      <c r="B132" s="95" t="s">
        <v>273</v>
      </c>
    </row>
    <row r="133" spans="2:42">
      <c r="B133" s="95" t="s">
        <v>273</v>
      </c>
    </row>
    <row r="134" spans="2:42">
      <c r="AF134" s="95" t="str">
        <f>CONCATENATE("конт. тел. ",AW12)</f>
        <v>конт. тел. ___________________________</v>
      </c>
    </row>
    <row r="135" spans="2:42">
      <c r="B135" s="88" t="s">
        <v>115</v>
      </c>
    </row>
    <row r="137" spans="2:42">
      <c r="B137" s="94" t="s">
        <v>116</v>
      </c>
      <c r="AF137" s="94" t="s">
        <v>117</v>
      </c>
    </row>
    <row r="139" spans="2:42">
      <c r="B139" s="97"/>
      <c r="C139" s="97"/>
      <c r="D139" s="97"/>
      <c r="E139" s="97"/>
      <c r="F139" s="97"/>
      <c r="G139" s="97"/>
      <c r="H139" s="97"/>
      <c r="I139" s="97"/>
      <c r="J139" s="97"/>
      <c r="K139" s="97"/>
      <c r="L139" s="97"/>
      <c r="AF139" s="97"/>
      <c r="AG139" s="97"/>
      <c r="AH139" s="97"/>
      <c r="AI139" s="97"/>
      <c r="AJ139" s="97"/>
      <c r="AK139" s="97"/>
      <c r="AL139" s="97"/>
      <c r="AM139" s="97"/>
      <c r="AN139" s="97"/>
      <c r="AO139" s="97"/>
      <c r="AP139" s="97"/>
    </row>
    <row r="141" spans="2:42">
      <c r="B141" s="94" t="s">
        <v>118</v>
      </c>
      <c r="AF141" s="94" t="s">
        <v>118</v>
      </c>
    </row>
    <row r="150" spans="13:37" hidden="1"/>
    <row r="151" spans="13:37" hidden="1"/>
    <row r="152" spans="13:37" hidden="1"/>
    <row r="153" spans="13:37" hidden="1"/>
    <row r="154" spans="13:37" hidden="1"/>
    <row r="155" spans="13:37" hidden="1"/>
    <row r="157" spans="13:37">
      <c r="P157" s="91" t="str">
        <f>CONCATENATE("Приложение №1 к договору №",AW2)</f>
        <v>Приложение №1 к договору №14/06-А(16)</v>
      </c>
      <c r="AK157" s="89" t="str">
        <f>CONCATENATE("от ",AW3)</f>
        <v>от "14" июня 2016 г.</v>
      </c>
    </row>
    <row r="159" spans="13:37">
      <c r="V159" s="88" t="s">
        <v>119</v>
      </c>
    </row>
    <row r="160" spans="13:37">
      <c r="M160" s="88" t="s">
        <v>120</v>
      </c>
    </row>
    <row r="161" spans="1:46">
      <c r="A161" s="94" t="s">
        <v>92</v>
      </c>
      <c r="AK161" s="93" t="str">
        <f>AW3</f>
        <v>"14" июня 2016 г.</v>
      </c>
    </row>
    <row r="162" spans="1:46" ht="10.5" customHeight="1"/>
    <row r="163" spans="1:46">
      <c r="C163" s="453" t="str">
        <f>CONCATENATE("Настоящие стороны согласно договору № ",AW2," от ",AW3," на аренду, ")</f>
        <v xml:space="preserve">Настоящие стороны согласно договору № 14/06-А(16) от "14" июня 2016 г. на аренду, </v>
      </c>
      <c r="D163" s="453"/>
      <c r="E163" s="453"/>
      <c r="F163" s="453"/>
      <c r="G163" s="453"/>
      <c r="H163" s="453"/>
      <c r="I163" s="453"/>
      <c r="J163" s="453"/>
      <c r="K163" s="453"/>
      <c r="L163" s="453"/>
      <c r="M163" s="453"/>
      <c r="N163" s="453"/>
      <c r="O163" s="453"/>
      <c r="P163" s="453"/>
      <c r="Q163" s="453"/>
      <c r="R163" s="453"/>
      <c r="S163" s="453"/>
      <c r="T163" s="453"/>
      <c r="U163" s="453"/>
      <c r="V163" s="453"/>
      <c r="W163" s="453"/>
      <c r="X163" s="453"/>
      <c r="Y163" s="453"/>
      <c r="Z163" s="453"/>
      <c r="AA163" s="453"/>
      <c r="AB163" s="453"/>
      <c r="AC163" s="453"/>
      <c r="AD163" s="453"/>
      <c r="AE163" s="453"/>
      <c r="AF163" s="453"/>
      <c r="AG163" s="453"/>
      <c r="AH163" s="453"/>
      <c r="AI163" s="453"/>
      <c r="AJ163" s="453"/>
      <c r="AK163" s="453"/>
      <c r="AL163" s="453"/>
      <c r="AM163" s="453"/>
      <c r="AN163" s="453"/>
      <c r="AO163" s="453"/>
      <c r="AP163" s="453"/>
      <c r="AQ163" s="453"/>
      <c r="AR163" s="453"/>
      <c r="AS163" s="453"/>
      <c r="AT163" s="453"/>
    </row>
    <row r="164" spans="1:46" ht="66" customHeight="1">
      <c r="A164" s="451" t="s">
        <v>191</v>
      </c>
      <c r="B164" s="451"/>
      <c r="C164" s="451"/>
      <c r="D164" s="451"/>
      <c r="E164" s="451"/>
      <c r="F164" s="451"/>
      <c r="G164" s="451"/>
      <c r="H164" s="451"/>
      <c r="I164" s="451"/>
      <c r="J164" s="451"/>
      <c r="K164" s="451"/>
      <c r="L164" s="451"/>
      <c r="M164" s="451"/>
      <c r="N164" s="451"/>
      <c r="O164" s="451"/>
      <c r="P164" s="451"/>
      <c r="Q164" s="451"/>
      <c r="R164" s="451"/>
      <c r="S164" s="451"/>
      <c r="T164" s="451"/>
      <c r="U164" s="451"/>
      <c r="V164" s="451"/>
      <c r="W164" s="451"/>
      <c r="X164" s="451"/>
      <c r="Y164" s="451"/>
      <c r="Z164" s="451"/>
      <c r="AA164" s="451"/>
      <c r="AB164" s="451"/>
      <c r="AC164" s="451"/>
      <c r="AD164" s="451"/>
      <c r="AE164" s="451"/>
      <c r="AF164" s="451"/>
      <c r="AG164" s="451"/>
      <c r="AH164" s="451"/>
      <c r="AI164" s="451"/>
      <c r="AJ164" s="451"/>
      <c r="AK164" s="451"/>
      <c r="AL164" s="451"/>
      <c r="AM164" s="451"/>
      <c r="AN164" s="451"/>
      <c r="AO164" s="451"/>
      <c r="AP164" s="451"/>
      <c r="AQ164" s="451"/>
      <c r="AR164" s="451"/>
      <c r="AS164" s="451"/>
      <c r="AT164" s="126"/>
    </row>
    <row r="165" spans="1:46" ht="6" customHeight="1"/>
    <row r="166" spans="1:46" ht="43.5" customHeight="1">
      <c r="A166" s="459" t="s">
        <v>121</v>
      </c>
      <c r="B166" s="459"/>
      <c r="C166" s="459"/>
      <c r="D166" s="459"/>
      <c r="E166" s="459" t="s">
        <v>31</v>
      </c>
      <c r="F166" s="459"/>
      <c r="G166" s="459"/>
      <c r="H166" s="459"/>
      <c r="I166" s="459"/>
      <c r="J166" s="459"/>
      <c r="K166" s="459"/>
      <c r="L166" s="459"/>
      <c r="M166" s="459"/>
      <c r="N166" s="459"/>
      <c r="O166" s="459"/>
      <c r="P166" s="459"/>
      <c r="Q166" s="459"/>
      <c r="R166" s="459"/>
      <c r="S166" s="459"/>
      <c r="T166" s="459"/>
      <c r="U166" s="459"/>
      <c r="V166" s="459"/>
      <c r="W166" s="459"/>
      <c r="X166" s="459"/>
      <c r="Y166" s="460" t="s">
        <v>123</v>
      </c>
      <c r="Z166" s="460"/>
      <c r="AA166" s="460"/>
      <c r="AB166" s="460"/>
      <c r="AC166" s="460"/>
      <c r="AD166" s="460"/>
      <c r="AE166" s="460"/>
      <c r="AF166" s="460" t="s">
        <v>122</v>
      </c>
      <c r="AG166" s="460"/>
      <c r="AH166" s="460"/>
      <c r="AI166" s="460"/>
      <c r="AJ166" s="460"/>
      <c r="AK166" s="460"/>
      <c r="AL166" s="460"/>
      <c r="AM166" s="459" t="s">
        <v>34</v>
      </c>
      <c r="AN166" s="459"/>
      <c r="AO166" s="459"/>
      <c r="AP166" s="459"/>
      <c r="AQ166" s="459"/>
      <c r="AR166" s="459"/>
      <c r="AS166" s="459"/>
    </row>
    <row r="167" spans="1:46" ht="32.25" customHeight="1">
      <c r="A167" s="493">
        <v>1</v>
      </c>
      <c r="B167" s="494"/>
      <c r="C167" s="494"/>
      <c r="D167" s="495"/>
      <c r="E167" s="496" t="str">
        <f>CONCATENATE("Строительная вышка тура ПСРВ-21 (",'Вышки туры'!S12," м)")</f>
        <v>Строительная вышка тура ПСРВ-21 (3,89 м)</v>
      </c>
      <c r="F167" s="497"/>
      <c r="G167" s="497"/>
      <c r="H167" s="497"/>
      <c r="I167" s="497"/>
      <c r="J167" s="497"/>
      <c r="K167" s="497"/>
      <c r="L167" s="497"/>
      <c r="M167" s="497"/>
      <c r="N167" s="497"/>
      <c r="O167" s="497"/>
      <c r="P167" s="497"/>
      <c r="Q167" s="497"/>
      <c r="R167" s="497"/>
      <c r="S167" s="497"/>
      <c r="T167" s="497"/>
      <c r="U167" s="497"/>
      <c r="V167" s="497"/>
      <c r="W167" s="497"/>
      <c r="X167" s="498"/>
      <c r="Y167" s="459">
        <f>'Вышки туры'!G3</f>
        <v>1</v>
      </c>
      <c r="Z167" s="459"/>
      <c r="AA167" s="459"/>
      <c r="AB167" s="459"/>
      <c r="AC167" s="459"/>
      <c r="AD167" s="459"/>
      <c r="AE167" s="459"/>
      <c r="AF167" s="463">
        <f>'Вышки туры'!H3</f>
        <v>20900</v>
      </c>
      <c r="AG167" s="463"/>
      <c r="AH167" s="463"/>
      <c r="AI167" s="463"/>
      <c r="AJ167" s="463"/>
      <c r="AK167" s="463"/>
      <c r="AL167" s="463"/>
      <c r="AM167" s="463">
        <f t="shared" ref="AM167" si="0">Y167*AF167</f>
        <v>20900</v>
      </c>
      <c r="AN167" s="463"/>
      <c r="AO167" s="463"/>
      <c r="AP167" s="463"/>
      <c r="AQ167" s="463"/>
      <c r="AR167" s="463"/>
      <c r="AS167" s="463"/>
    </row>
    <row r="168" spans="1:46" ht="31.5" customHeight="1">
      <c r="A168" s="461"/>
      <c r="B168" s="461"/>
      <c r="C168" s="461"/>
      <c r="D168" s="461"/>
      <c r="E168" s="457" t="s">
        <v>130</v>
      </c>
      <c r="F168" s="458"/>
      <c r="G168" s="458"/>
      <c r="H168" s="458"/>
      <c r="I168" s="458"/>
      <c r="J168" s="458"/>
      <c r="K168" s="458"/>
      <c r="L168" s="458"/>
      <c r="M168" s="458"/>
      <c r="N168" s="458"/>
      <c r="O168" s="458"/>
      <c r="P168" s="458"/>
      <c r="Q168" s="458"/>
      <c r="R168" s="458"/>
      <c r="S168" s="458"/>
      <c r="T168" s="458"/>
      <c r="U168" s="458"/>
      <c r="V168" s="458"/>
      <c r="W168" s="458"/>
      <c r="X168" s="458"/>
      <c r="Y168" s="461"/>
      <c r="Z168" s="461"/>
      <c r="AA168" s="461"/>
      <c r="AB168" s="461"/>
      <c r="AC168" s="461"/>
      <c r="AD168" s="461"/>
      <c r="AE168" s="461"/>
      <c r="AF168" s="462"/>
      <c r="AG168" s="462"/>
      <c r="AH168" s="462"/>
      <c r="AI168" s="462"/>
      <c r="AJ168" s="462"/>
      <c r="AK168" s="462"/>
      <c r="AL168" s="462"/>
      <c r="AM168" s="463">
        <f>SUM(AM167:AS167)</f>
        <v>20900</v>
      </c>
      <c r="AN168" s="463"/>
      <c r="AO168" s="463"/>
      <c r="AP168" s="463"/>
      <c r="AQ168" s="463"/>
      <c r="AR168" s="463"/>
      <c r="AS168" s="463"/>
    </row>
    <row r="169" spans="1:46" ht="47.25" customHeight="1">
      <c r="A169" s="461"/>
      <c r="B169" s="461"/>
      <c r="C169" s="461"/>
      <c r="D169" s="461"/>
      <c r="E169" s="457" t="s">
        <v>207</v>
      </c>
      <c r="F169" s="458"/>
      <c r="G169" s="458"/>
      <c r="H169" s="458"/>
      <c r="I169" s="458"/>
      <c r="J169" s="458"/>
      <c r="K169" s="458"/>
      <c r="L169" s="458"/>
      <c r="M169" s="458"/>
      <c r="N169" s="458"/>
      <c r="O169" s="458"/>
      <c r="P169" s="458"/>
      <c r="Q169" s="458"/>
      <c r="R169" s="458"/>
      <c r="S169" s="458"/>
      <c r="T169" s="458"/>
      <c r="U169" s="458"/>
      <c r="V169" s="458"/>
      <c r="W169" s="458"/>
      <c r="X169" s="458"/>
      <c r="Y169" s="461"/>
      <c r="Z169" s="461"/>
      <c r="AA169" s="461"/>
      <c r="AB169" s="461"/>
      <c r="AC169" s="461"/>
      <c r="AD169" s="461"/>
      <c r="AE169" s="461"/>
      <c r="AF169" s="462"/>
      <c r="AG169" s="462"/>
      <c r="AH169" s="462"/>
      <c r="AI169" s="462"/>
      <c r="AJ169" s="462"/>
      <c r="AK169" s="462"/>
      <c r="AL169" s="462"/>
      <c r="AM169" s="463">
        <f>'Вышки туры'!K3</f>
        <v>2090</v>
      </c>
      <c r="AN169" s="463"/>
      <c r="AO169" s="463"/>
      <c r="AP169" s="463"/>
      <c r="AQ169" s="463"/>
      <c r="AR169" s="463"/>
      <c r="AS169" s="463"/>
    </row>
    <row r="170" spans="1:46" ht="47.25" customHeight="1">
      <c r="A170" s="461"/>
      <c r="B170" s="461"/>
      <c r="C170" s="461"/>
      <c r="D170" s="461"/>
      <c r="E170" s="464" t="str">
        <f>CONCATENATE("Стоимость доставки оборудования
до объекта Арендатора (",AW13,")")</f>
        <v>Стоимость доставки оборудования
до объекта Арендатора (___________________)</v>
      </c>
      <c r="F170" s="465"/>
      <c r="G170" s="465"/>
      <c r="H170" s="465"/>
      <c r="I170" s="465"/>
      <c r="J170" s="465"/>
      <c r="K170" s="465"/>
      <c r="L170" s="465"/>
      <c r="M170" s="465"/>
      <c r="N170" s="465"/>
      <c r="O170" s="465"/>
      <c r="P170" s="465"/>
      <c r="Q170" s="465"/>
      <c r="R170" s="465"/>
      <c r="S170" s="465"/>
      <c r="T170" s="465"/>
      <c r="U170" s="465"/>
      <c r="V170" s="465"/>
      <c r="W170" s="465"/>
      <c r="X170" s="465"/>
      <c r="Y170" s="461"/>
      <c r="Z170" s="461"/>
      <c r="AA170" s="461"/>
      <c r="AB170" s="461"/>
      <c r="AC170" s="461"/>
      <c r="AD170" s="461"/>
      <c r="AE170" s="461"/>
      <c r="AF170" s="462"/>
      <c r="AG170" s="462"/>
      <c r="AH170" s="462"/>
      <c r="AI170" s="462"/>
      <c r="AJ170" s="462"/>
      <c r="AK170" s="462"/>
      <c r="AL170" s="462"/>
      <c r="AM170" s="463">
        <f>'Вышки туры'!G4</f>
        <v>0</v>
      </c>
      <c r="AN170" s="463"/>
      <c r="AO170" s="463"/>
      <c r="AP170" s="463"/>
      <c r="AQ170" s="463"/>
      <c r="AR170" s="463"/>
      <c r="AS170" s="463"/>
    </row>
    <row r="171" spans="1:46" ht="47.25" customHeight="1">
      <c r="A171" s="461"/>
      <c r="B171" s="461"/>
      <c r="C171" s="461"/>
      <c r="D171" s="461"/>
      <c r="E171" s="464" t="str">
        <f>CONCATENATE("Стоимость вывоза оборудования
до объекта Арендатора (",AW13,")")</f>
        <v>Стоимость вывоза оборудования
до объекта Арендатора (___________________)</v>
      </c>
      <c r="F171" s="465"/>
      <c r="G171" s="465"/>
      <c r="H171" s="465"/>
      <c r="I171" s="465"/>
      <c r="J171" s="465"/>
      <c r="K171" s="465"/>
      <c r="L171" s="465"/>
      <c r="M171" s="465"/>
      <c r="N171" s="465"/>
      <c r="O171" s="465"/>
      <c r="P171" s="465"/>
      <c r="Q171" s="465"/>
      <c r="R171" s="465"/>
      <c r="S171" s="465"/>
      <c r="T171" s="465"/>
      <c r="U171" s="465"/>
      <c r="V171" s="465"/>
      <c r="W171" s="465"/>
      <c r="X171" s="465"/>
      <c r="Y171" s="461"/>
      <c r="Z171" s="461"/>
      <c r="AA171" s="461"/>
      <c r="AB171" s="461"/>
      <c r="AC171" s="461"/>
      <c r="AD171" s="461"/>
      <c r="AE171" s="461"/>
      <c r="AF171" s="462"/>
      <c r="AG171" s="462"/>
      <c r="AH171" s="462"/>
      <c r="AI171" s="462"/>
      <c r="AJ171" s="462"/>
      <c r="AK171" s="462"/>
      <c r="AL171" s="462"/>
      <c r="AM171" s="463">
        <f>'Вышки туры'!G4</f>
        <v>0</v>
      </c>
      <c r="AN171" s="463"/>
      <c r="AO171" s="463"/>
      <c r="AP171" s="463"/>
      <c r="AQ171" s="463"/>
      <c r="AR171" s="463"/>
      <c r="AS171" s="463"/>
    </row>
    <row r="172" spans="1:46" ht="43.5" customHeight="1">
      <c r="A172" s="461"/>
      <c r="B172" s="461"/>
      <c r="C172" s="461"/>
      <c r="D172" s="461"/>
      <c r="E172" s="464" t="str">
        <f>CONCATENATE("Стоимость аренды оборудования
за ",BL3," суток согласно п. 3.1 договора")</f>
        <v>Стоимость аренды оборудования
за 30 суток согласно п. 3.1 договора</v>
      </c>
      <c r="F172" s="465"/>
      <c r="G172" s="465"/>
      <c r="H172" s="465"/>
      <c r="I172" s="465"/>
      <c r="J172" s="465"/>
      <c r="K172" s="465"/>
      <c r="L172" s="465"/>
      <c r="M172" s="465"/>
      <c r="N172" s="465"/>
      <c r="O172" s="465"/>
      <c r="P172" s="465"/>
      <c r="Q172" s="465"/>
      <c r="R172" s="465"/>
      <c r="S172" s="465"/>
      <c r="T172" s="465"/>
      <c r="U172" s="465"/>
      <c r="V172" s="465"/>
      <c r="W172" s="465"/>
      <c r="X172" s="465"/>
      <c r="Y172" s="461"/>
      <c r="Z172" s="461"/>
      <c r="AA172" s="461"/>
      <c r="AB172" s="461"/>
      <c r="AC172" s="461"/>
      <c r="AD172" s="461"/>
      <c r="AE172" s="461"/>
      <c r="AF172" s="462"/>
      <c r="AG172" s="462"/>
      <c r="AH172" s="462"/>
      <c r="AI172" s="462"/>
      <c r="AJ172" s="462"/>
      <c r="AK172" s="462"/>
      <c r="AL172" s="462"/>
      <c r="AM172" s="463">
        <f>'Вышки туры'!D5</f>
        <v>4680</v>
      </c>
      <c r="AN172" s="463"/>
      <c r="AO172" s="463"/>
      <c r="AP172" s="463"/>
      <c r="AQ172" s="463"/>
      <c r="AR172" s="463"/>
      <c r="AS172" s="463"/>
    </row>
    <row r="173" spans="1:46">
      <c r="A173" s="461"/>
      <c r="B173" s="461"/>
      <c r="C173" s="461"/>
      <c r="D173" s="461"/>
      <c r="E173" s="466" t="s">
        <v>132</v>
      </c>
      <c r="F173" s="466"/>
      <c r="G173" s="466"/>
      <c r="H173" s="466"/>
      <c r="I173" s="466"/>
      <c r="J173" s="466"/>
      <c r="K173" s="466"/>
      <c r="L173" s="466"/>
      <c r="M173" s="466"/>
      <c r="N173" s="466"/>
      <c r="O173" s="466"/>
      <c r="P173" s="466"/>
      <c r="Q173" s="466"/>
      <c r="R173" s="466"/>
      <c r="S173" s="466"/>
      <c r="T173" s="466"/>
      <c r="U173" s="466"/>
      <c r="V173" s="466"/>
      <c r="W173" s="466"/>
      <c r="X173" s="466"/>
      <c r="Y173" s="461"/>
      <c r="Z173" s="461"/>
      <c r="AA173" s="461"/>
      <c r="AB173" s="461"/>
      <c r="AC173" s="461"/>
      <c r="AD173" s="461"/>
      <c r="AE173" s="461"/>
      <c r="AF173" s="462"/>
      <c r="AG173" s="462"/>
      <c r="AH173" s="462"/>
      <c r="AI173" s="462"/>
      <c r="AJ173" s="462"/>
      <c r="AK173" s="462"/>
      <c r="AL173" s="462"/>
      <c r="AM173" s="463">
        <f>AM169+AM170+AM171+AM172</f>
        <v>6770</v>
      </c>
      <c r="AN173" s="463"/>
      <c r="AO173" s="463"/>
      <c r="AP173" s="463"/>
      <c r="AQ173" s="463"/>
      <c r="AR173" s="463"/>
      <c r="AS173" s="463"/>
    </row>
    <row r="175" spans="1:46" ht="29.25" customHeight="1">
      <c r="A175" s="454" t="s">
        <v>192</v>
      </c>
      <c r="B175" s="454"/>
      <c r="C175" s="454"/>
      <c r="D175" s="454"/>
      <c r="E175" s="454"/>
      <c r="F175" s="454"/>
      <c r="G175" s="454"/>
      <c r="H175" s="454"/>
      <c r="I175" s="454"/>
      <c r="J175" s="454"/>
      <c r="K175" s="454"/>
      <c r="L175" s="454"/>
      <c r="M175" s="454"/>
      <c r="N175" s="454"/>
      <c r="O175" s="454"/>
      <c r="P175" s="454"/>
      <c r="Q175" s="454"/>
      <c r="R175" s="454"/>
      <c r="S175" s="454"/>
      <c r="T175" s="454"/>
      <c r="U175" s="454"/>
      <c r="V175" s="454"/>
      <c r="W175" s="454"/>
      <c r="X175" s="454"/>
      <c r="Y175" s="454"/>
      <c r="Z175" s="454"/>
      <c r="AA175" s="454"/>
      <c r="AB175" s="454"/>
      <c r="AC175" s="454"/>
      <c r="AD175" s="454"/>
      <c r="AE175" s="454"/>
      <c r="AF175" s="454"/>
      <c r="AG175" s="454"/>
      <c r="AH175" s="454"/>
      <c r="AI175" s="454"/>
      <c r="AJ175" s="454"/>
      <c r="AK175" s="454"/>
      <c r="AL175" s="454"/>
      <c r="AM175" s="454"/>
      <c r="AN175" s="454"/>
      <c r="AO175" s="454"/>
      <c r="AP175" s="454"/>
      <c r="AQ175" s="454"/>
      <c r="AR175" s="454"/>
      <c r="AS175" s="454"/>
    </row>
    <row r="176" spans="1:46">
      <c r="A176" s="92" t="s">
        <v>137</v>
      </c>
    </row>
    <row r="178" spans="1:35">
      <c r="A178" s="88" t="s">
        <v>133</v>
      </c>
    </row>
    <row r="180" spans="1:35">
      <c r="A180" s="88" t="s">
        <v>205</v>
      </c>
    </row>
    <row r="182" spans="1:35">
      <c r="A182" s="88" t="s">
        <v>134</v>
      </c>
    </row>
    <row r="184" spans="1:35">
      <c r="A184" s="94" t="s">
        <v>135</v>
      </c>
    </row>
    <row r="185" spans="1:35">
      <c r="A185" s="94" t="s">
        <v>136</v>
      </c>
    </row>
    <row r="186" spans="1:35" ht="98.25" customHeight="1"/>
    <row r="187" spans="1:35">
      <c r="P187" s="91" t="s">
        <v>288</v>
      </c>
      <c r="AI187" s="93" t="s">
        <v>289</v>
      </c>
    </row>
    <row r="189" spans="1:35">
      <c r="U189" s="88" t="s">
        <v>119</v>
      </c>
    </row>
    <row r="190" spans="1:35">
      <c r="L190" s="88" t="s">
        <v>120</v>
      </c>
    </row>
    <row r="192" spans="1:35">
      <c r="P192" s="93" t="s">
        <v>240</v>
      </c>
    </row>
    <row r="193" spans="1:46" ht="16.5" thickBot="1"/>
    <row r="194" spans="1:46" ht="16.5" thickBot="1">
      <c r="A194" s="481" t="s">
        <v>252</v>
      </c>
      <c r="B194" s="479"/>
      <c r="C194" s="490"/>
      <c r="D194" s="481" t="s">
        <v>253</v>
      </c>
      <c r="E194" s="479"/>
      <c r="F194" s="479"/>
      <c r="G194" s="479"/>
      <c r="H194" s="479"/>
      <c r="I194" s="479"/>
      <c r="J194" s="479"/>
      <c r="K194" s="479"/>
      <c r="L194" s="479"/>
      <c r="M194" s="479"/>
      <c r="N194" s="479"/>
      <c r="O194" s="479"/>
      <c r="P194" s="479"/>
      <c r="Q194" s="479"/>
      <c r="R194" s="479"/>
      <c r="S194" s="479"/>
      <c r="T194" s="479"/>
      <c r="U194" s="479"/>
      <c r="V194" s="479"/>
      <c r="W194" s="479"/>
      <c r="X194" s="479"/>
      <c r="Y194" s="479"/>
      <c r="Z194" s="479"/>
      <c r="AA194" s="479"/>
      <c r="AB194" s="479"/>
      <c r="AC194" s="479"/>
      <c r="AD194" s="479"/>
      <c r="AE194" s="479"/>
      <c r="AF194" s="479"/>
      <c r="AG194" s="480"/>
      <c r="AH194" s="478" t="s">
        <v>32</v>
      </c>
      <c r="AI194" s="479"/>
      <c r="AJ194" s="479"/>
      <c r="AK194" s="479"/>
      <c r="AL194" s="479"/>
      <c r="AM194" s="479"/>
      <c r="AN194" s="479"/>
      <c r="AO194" s="479"/>
      <c r="AP194" s="479"/>
      <c r="AQ194" s="479"/>
      <c r="AR194" s="479"/>
      <c r="AS194" s="480"/>
      <c r="AT194" s="161"/>
    </row>
    <row r="195" spans="1:46">
      <c r="A195" s="491">
        <v>1</v>
      </c>
      <c r="B195" s="492"/>
      <c r="C195" s="492"/>
      <c r="D195" s="482" t="str">
        <f>'Вышки туры'!A36</f>
        <v>База в сборе (2420мм)</v>
      </c>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75">
        <f>'Вышки туры'!D36</f>
        <v>2</v>
      </c>
      <c r="AI195" s="475"/>
      <c r="AJ195" s="475"/>
      <c r="AK195" s="475"/>
      <c r="AL195" s="475"/>
      <c r="AM195" s="475"/>
      <c r="AN195" s="475"/>
      <c r="AO195" s="475"/>
      <c r="AP195" s="475"/>
      <c r="AQ195" s="475"/>
      <c r="AR195" s="475"/>
      <c r="AS195" s="476"/>
      <c r="AT195" s="162"/>
    </row>
    <row r="196" spans="1:46">
      <c r="A196" s="487">
        <v>2</v>
      </c>
      <c r="B196" s="461"/>
      <c r="C196" s="461"/>
      <c r="D196" s="466" t="str">
        <f>'Вышки туры'!A37</f>
        <v>Лестница секции (1160мм х 1214мм)</v>
      </c>
      <c r="E196" s="466"/>
      <c r="F196" s="466"/>
      <c r="G196" s="466"/>
      <c r="H196" s="466"/>
      <c r="I196" s="466"/>
      <c r="J196" s="466"/>
      <c r="K196" s="466"/>
      <c r="L196" s="466"/>
      <c r="M196" s="466"/>
      <c r="N196" s="466"/>
      <c r="O196" s="466"/>
      <c r="P196" s="466"/>
      <c r="Q196" s="466"/>
      <c r="R196" s="466"/>
      <c r="S196" s="466"/>
      <c r="T196" s="466"/>
      <c r="U196" s="466"/>
      <c r="V196" s="466"/>
      <c r="W196" s="466"/>
      <c r="X196" s="466"/>
      <c r="Y196" s="466"/>
      <c r="Z196" s="466"/>
      <c r="AA196" s="466"/>
      <c r="AB196" s="466"/>
      <c r="AC196" s="466"/>
      <c r="AD196" s="466"/>
      <c r="AE196" s="466"/>
      <c r="AF196" s="466"/>
      <c r="AG196" s="484"/>
      <c r="AH196" s="473">
        <f>'Вышки туры'!D37</f>
        <v>6</v>
      </c>
      <c r="AI196" s="473"/>
      <c r="AJ196" s="473"/>
      <c r="AK196" s="473"/>
      <c r="AL196" s="473"/>
      <c r="AM196" s="473"/>
      <c r="AN196" s="473"/>
      <c r="AO196" s="473"/>
      <c r="AP196" s="473"/>
      <c r="AQ196" s="473"/>
      <c r="AR196" s="473"/>
      <c r="AS196" s="474"/>
      <c r="AT196" s="162"/>
    </row>
    <row r="197" spans="1:46">
      <c r="A197" s="487">
        <v>3</v>
      </c>
      <c r="B197" s="461"/>
      <c r="C197" s="461"/>
      <c r="D197" s="466" t="str">
        <f>'Вышки туры'!A38</f>
        <v>Диагональ объемная (2305мм)</v>
      </c>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c r="AG197" s="484"/>
      <c r="AH197" s="473">
        <f>'Вышки туры'!D38</f>
        <v>1</v>
      </c>
      <c r="AI197" s="473"/>
      <c r="AJ197" s="473"/>
      <c r="AK197" s="473"/>
      <c r="AL197" s="473"/>
      <c r="AM197" s="473"/>
      <c r="AN197" s="473"/>
      <c r="AO197" s="473"/>
      <c r="AP197" s="473"/>
      <c r="AQ197" s="473"/>
      <c r="AR197" s="473"/>
      <c r="AS197" s="474"/>
      <c r="AT197" s="162"/>
    </row>
    <row r="198" spans="1:46">
      <c r="A198" s="487">
        <v>4</v>
      </c>
      <c r="B198" s="461"/>
      <c r="C198" s="461"/>
      <c r="D198" s="466" t="str">
        <f>'Вышки туры'!A39</f>
        <v>Гантель (1975мм)</v>
      </c>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c r="AE198" s="466"/>
      <c r="AF198" s="466"/>
      <c r="AG198" s="484"/>
      <c r="AH198" s="473">
        <f>'Вышки туры'!D39</f>
        <v>4</v>
      </c>
      <c r="AI198" s="473"/>
      <c r="AJ198" s="473"/>
      <c r="AK198" s="473"/>
      <c r="AL198" s="473"/>
      <c r="AM198" s="473"/>
      <c r="AN198" s="473"/>
      <c r="AO198" s="473"/>
      <c r="AP198" s="473"/>
      <c r="AQ198" s="473"/>
      <c r="AR198" s="473"/>
      <c r="AS198" s="474"/>
      <c r="AT198" s="162"/>
    </row>
    <row r="199" spans="1:46">
      <c r="A199" s="487">
        <v>5</v>
      </c>
      <c r="B199" s="461"/>
      <c r="C199" s="461"/>
      <c r="D199" s="466" t="str">
        <f>'Вышки туры'!A40</f>
        <v>Стяжка лестницы (840мм)</v>
      </c>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c r="AA199" s="466"/>
      <c r="AB199" s="466"/>
      <c r="AC199" s="466"/>
      <c r="AD199" s="466"/>
      <c r="AE199" s="466"/>
      <c r="AF199" s="466"/>
      <c r="AG199" s="484"/>
      <c r="AH199" s="473">
        <f>'Вышки туры'!D40</f>
        <v>24</v>
      </c>
      <c r="AI199" s="473"/>
      <c r="AJ199" s="473"/>
      <c r="AK199" s="473"/>
      <c r="AL199" s="473"/>
      <c r="AM199" s="473"/>
      <c r="AN199" s="473"/>
      <c r="AO199" s="473"/>
      <c r="AP199" s="473"/>
      <c r="AQ199" s="473"/>
      <c r="AR199" s="473"/>
      <c r="AS199" s="474"/>
      <c r="AT199" s="162"/>
    </row>
    <row r="200" spans="1:46">
      <c r="A200" s="487">
        <v>6</v>
      </c>
      <c r="B200" s="461"/>
      <c r="C200" s="461"/>
      <c r="D200" s="466" t="str">
        <f>'Вышки туры'!A41</f>
        <v>Стабилизатор в сборе (2400мм)</v>
      </c>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c r="AA200" s="466"/>
      <c r="AB200" s="466"/>
      <c r="AC200" s="466"/>
      <c r="AD200" s="466"/>
      <c r="AE200" s="466"/>
      <c r="AF200" s="466"/>
      <c r="AG200" s="484"/>
      <c r="AH200" s="473"/>
      <c r="AI200" s="473"/>
      <c r="AJ200" s="473"/>
      <c r="AK200" s="473"/>
      <c r="AL200" s="473"/>
      <c r="AM200" s="473"/>
      <c r="AN200" s="473"/>
      <c r="AO200" s="473"/>
      <c r="AP200" s="473"/>
      <c r="AQ200" s="473"/>
      <c r="AR200" s="473"/>
      <c r="AS200" s="474"/>
      <c r="AT200" s="162"/>
    </row>
    <row r="201" spans="1:46">
      <c r="A201" s="487">
        <v>7</v>
      </c>
      <c r="B201" s="461"/>
      <c r="C201" s="461"/>
      <c r="D201" s="466" t="str">
        <f>'Вышки туры'!A42</f>
        <v>Лестница ограждения (1160мм х 1214мм)</v>
      </c>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c r="AE201" s="466"/>
      <c r="AF201" s="466"/>
      <c r="AG201" s="484"/>
      <c r="AH201" s="473">
        <f>'Вышки туры'!D42</f>
        <v>2</v>
      </c>
      <c r="AI201" s="473"/>
      <c r="AJ201" s="473"/>
      <c r="AK201" s="473"/>
      <c r="AL201" s="473"/>
      <c r="AM201" s="473"/>
      <c r="AN201" s="473"/>
      <c r="AO201" s="473"/>
      <c r="AP201" s="473"/>
      <c r="AQ201" s="473"/>
      <c r="AR201" s="473"/>
      <c r="AS201" s="474"/>
      <c r="AT201" s="162"/>
    </row>
    <row r="202" spans="1:46">
      <c r="A202" s="487">
        <v>8</v>
      </c>
      <c r="B202" s="461"/>
      <c r="C202" s="461"/>
      <c r="D202" s="466" t="str">
        <f>'Вышки туры'!A43</f>
        <v>Гантель ограждения (1965мм)</v>
      </c>
      <c r="E202" s="466"/>
      <c r="F202" s="466"/>
      <c r="G202" s="466"/>
      <c r="H202" s="466"/>
      <c r="I202" s="466"/>
      <c r="J202" s="466"/>
      <c r="K202" s="466"/>
      <c r="L202" s="466"/>
      <c r="M202" s="466"/>
      <c r="N202" s="466"/>
      <c r="O202" s="466"/>
      <c r="P202" s="466"/>
      <c r="Q202" s="466"/>
      <c r="R202" s="466"/>
      <c r="S202" s="466"/>
      <c r="T202" s="466"/>
      <c r="U202" s="466"/>
      <c r="V202" s="466"/>
      <c r="W202" s="466"/>
      <c r="X202" s="466"/>
      <c r="Y202" s="466"/>
      <c r="Z202" s="466"/>
      <c r="AA202" s="466"/>
      <c r="AB202" s="466"/>
      <c r="AC202" s="466"/>
      <c r="AD202" s="466"/>
      <c r="AE202" s="466"/>
      <c r="AF202" s="466"/>
      <c r="AG202" s="484"/>
      <c r="AH202" s="473">
        <f>'Вышки туры'!D43</f>
        <v>2</v>
      </c>
      <c r="AI202" s="473"/>
      <c r="AJ202" s="473"/>
      <c r="AK202" s="473"/>
      <c r="AL202" s="473"/>
      <c r="AM202" s="473"/>
      <c r="AN202" s="473"/>
      <c r="AO202" s="473"/>
      <c r="AP202" s="473"/>
      <c r="AQ202" s="473"/>
      <c r="AR202" s="473"/>
      <c r="AS202" s="474"/>
      <c r="AT202" s="162"/>
    </row>
    <row r="203" spans="1:46">
      <c r="A203" s="487">
        <v>9</v>
      </c>
      <c r="B203" s="461"/>
      <c r="C203" s="461"/>
      <c r="D203" s="466" t="str">
        <f>'Вышки туры'!A44</f>
        <v>Перекладина ограждения (1990мм)</v>
      </c>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c r="AE203" s="466"/>
      <c r="AF203" s="466"/>
      <c r="AG203" s="484"/>
      <c r="AH203" s="473">
        <f>'Вышки туры'!D44</f>
        <v>2</v>
      </c>
      <c r="AI203" s="473"/>
      <c r="AJ203" s="473"/>
      <c r="AK203" s="473"/>
      <c r="AL203" s="473"/>
      <c r="AM203" s="473"/>
      <c r="AN203" s="473"/>
      <c r="AO203" s="473"/>
      <c r="AP203" s="473"/>
      <c r="AQ203" s="473"/>
      <c r="AR203" s="473"/>
      <c r="AS203" s="474"/>
      <c r="AT203" s="162"/>
    </row>
    <row r="204" spans="1:46">
      <c r="A204" s="487">
        <v>10</v>
      </c>
      <c r="B204" s="461"/>
      <c r="C204" s="461"/>
      <c r="D204" s="466" t="str">
        <f>'Вышки туры'!A45</f>
        <v>Настил без люка (1995мм х 525мм)</v>
      </c>
      <c r="E204" s="466"/>
      <c r="F204" s="466"/>
      <c r="G204" s="466"/>
      <c r="H204" s="466"/>
      <c r="I204" s="466"/>
      <c r="J204" s="466"/>
      <c r="K204" s="466"/>
      <c r="L204" s="466"/>
      <c r="M204" s="466"/>
      <c r="N204" s="466"/>
      <c r="O204" s="466"/>
      <c r="P204" s="466"/>
      <c r="Q204" s="466"/>
      <c r="R204" s="466"/>
      <c r="S204" s="466"/>
      <c r="T204" s="466"/>
      <c r="U204" s="466"/>
      <c r="V204" s="466"/>
      <c r="W204" s="466"/>
      <c r="X204" s="466"/>
      <c r="Y204" s="466"/>
      <c r="Z204" s="466"/>
      <c r="AA204" s="466"/>
      <c r="AB204" s="466"/>
      <c r="AC204" s="466"/>
      <c r="AD204" s="466"/>
      <c r="AE204" s="466"/>
      <c r="AF204" s="466"/>
      <c r="AG204" s="484"/>
      <c r="AH204" s="473">
        <f>'Вышки туры'!D45</f>
        <v>1</v>
      </c>
      <c r="AI204" s="473"/>
      <c r="AJ204" s="473"/>
      <c r="AK204" s="473"/>
      <c r="AL204" s="473"/>
      <c r="AM204" s="473"/>
      <c r="AN204" s="473"/>
      <c r="AO204" s="473"/>
      <c r="AP204" s="473"/>
      <c r="AQ204" s="473"/>
      <c r="AR204" s="473"/>
      <c r="AS204" s="474"/>
      <c r="AT204" s="162"/>
    </row>
    <row r="205" spans="1:46" ht="16.5" thickBot="1">
      <c r="A205" s="488">
        <v>11</v>
      </c>
      <c r="B205" s="489"/>
      <c r="C205" s="489"/>
      <c r="D205" s="485" t="str">
        <f>'Вышки туры'!A46</f>
        <v>Настил с люком (1995мм х 525мм)</v>
      </c>
      <c r="E205" s="485"/>
      <c r="F205" s="485"/>
      <c r="G205" s="485"/>
      <c r="H205" s="485"/>
      <c r="I205" s="485"/>
      <c r="J205" s="485"/>
      <c r="K205" s="485"/>
      <c r="L205" s="485"/>
      <c r="M205" s="485"/>
      <c r="N205" s="485"/>
      <c r="O205" s="485"/>
      <c r="P205" s="485"/>
      <c r="Q205" s="485"/>
      <c r="R205" s="485"/>
      <c r="S205" s="485"/>
      <c r="T205" s="485"/>
      <c r="U205" s="485"/>
      <c r="V205" s="485"/>
      <c r="W205" s="485"/>
      <c r="X205" s="485"/>
      <c r="Y205" s="485"/>
      <c r="Z205" s="485"/>
      <c r="AA205" s="485"/>
      <c r="AB205" s="485"/>
      <c r="AC205" s="485"/>
      <c r="AD205" s="485"/>
      <c r="AE205" s="485"/>
      <c r="AF205" s="485"/>
      <c r="AG205" s="486"/>
      <c r="AH205" s="471">
        <f>'Вышки туры'!D46</f>
        <v>1</v>
      </c>
      <c r="AI205" s="471"/>
      <c r="AJ205" s="471"/>
      <c r="AK205" s="471"/>
      <c r="AL205" s="471"/>
      <c r="AM205" s="471"/>
      <c r="AN205" s="471"/>
      <c r="AO205" s="471"/>
      <c r="AP205" s="471"/>
      <c r="AQ205" s="471"/>
      <c r="AR205" s="471"/>
      <c r="AS205" s="472"/>
      <c r="AT205" s="162"/>
    </row>
    <row r="206" spans="1:46">
      <c r="A206" s="477"/>
      <c r="B206" s="477"/>
      <c r="C206" s="477"/>
      <c r="D206" s="477"/>
      <c r="E206" s="477"/>
      <c r="F206" s="477"/>
      <c r="G206" s="477"/>
      <c r="H206" s="477"/>
      <c r="I206" s="477"/>
      <c r="J206" s="477"/>
      <c r="K206" s="477"/>
      <c r="L206" s="477"/>
      <c r="M206" s="477"/>
      <c r="N206" s="477"/>
      <c r="O206" s="477"/>
      <c r="P206" s="477"/>
      <c r="Q206" s="477"/>
      <c r="R206" s="477"/>
      <c r="S206" s="477"/>
      <c r="T206" s="477"/>
      <c r="U206" s="477"/>
      <c r="V206" s="477"/>
      <c r="W206" s="477"/>
      <c r="X206" s="477"/>
      <c r="Y206" s="477"/>
      <c r="Z206" s="477"/>
      <c r="AA206" s="477"/>
      <c r="AB206" s="477"/>
      <c r="AC206" s="477"/>
      <c r="AD206" s="477"/>
      <c r="AE206" s="477"/>
      <c r="AF206" s="477"/>
      <c r="AG206" s="477"/>
      <c r="AH206" s="477"/>
      <c r="AI206" s="477"/>
      <c r="AJ206" s="477"/>
      <c r="AK206" s="477"/>
      <c r="AL206" s="477"/>
      <c r="AM206" s="477"/>
      <c r="AN206" s="477"/>
      <c r="AO206" s="477"/>
      <c r="AP206" s="477"/>
      <c r="AQ206" s="477"/>
      <c r="AR206" s="477"/>
      <c r="AS206" s="477"/>
      <c r="AT206" s="477"/>
    </row>
    <row r="207" spans="1:46">
      <c r="A207" s="477"/>
      <c r="B207" s="477"/>
      <c r="C207" s="477"/>
      <c r="D207" s="477"/>
      <c r="E207" s="477"/>
      <c r="F207" s="477"/>
      <c r="G207" s="477"/>
      <c r="H207" s="477"/>
      <c r="I207" s="477"/>
      <c r="J207" s="477"/>
      <c r="K207" s="477"/>
      <c r="L207" s="477"/>
      <c r="M207" s="477"/>
      <c r="N207" s="477"/>
      <c r="O207" s="477"/>
      <c r="P207" s="477"/>
      <c r="Q207" s="477"/>
      <c r="R207" s="477"/>
      <c r="S207" s="477"/>
      <c r="T207" s="477"/>
      <c r="U207" s="477"/>
      <c r="V207" s="477"/>
      <c r="W207" s="477"/>
      <c r="X207" s="477"/>
      <c r="Y207" s="477"/>
      <c r="Z207" s="477"/>
      <c r="AA207" s="477"/>
      <c r="AB207" s="477"/>
      <c r="AC207" s="477"/>
      <c r="AD207" s="477"/>
      <c r="AE207" s="477"/>
      <c r="AF207" s="477"/>
      <c r="AG207" s="477"/>
      <c r="AH207" s="477"/>
      <c r="AI207" s="477"/>
      <c r="AJ207" s="477"/>
      <c r="AK207" s="477"/>
      <c r="AL207" s="477"/>
      <c r="AM207" s="477"/>
      <c r="AN207" s="477"/>
      <c r="AO207" s="477"/>
      <c r="AP207" s="477"/>
      <c r="AQ207" s="477"/>
      <c r="AR207" s="477"/>
      <c r="AS207" s="477"/>
      <c r="AT207" s="477"/>
    </row>
    <row r="208" spans="1:46">
      <c r="A208" s="467"/>
      <c r="B208" s="467"/>
      <c r="C208" s="467"/>
      <c r="D208" s="467"/>
      <c r="E208" s="467"/>
      <c r="F208" s="467"/>
      <c r="G208" s="467"/>
      <c r="H208" s="467"/>
      <c r="I208" s="467"/>
      <c r="J208" s="467"/>
      <c r="K208" s="467"/>
      <c r="L208" s="467"/>
      <c r="M208" s="467"/>
      <c r="N208" s="467"/>
      <c r="O208" s="467"/>
      <c r="P208" s="467"/>
      <c r="Q208" s="467"/>
      <c r="R208" s="467"/>
      <c r="S208" s="467"/>
      <c r="T208" s="467"/>
      <c r="U208" s="467"/>
      <c r="V208" s="467"/>
      <c r="W208" s="467"/>
      <c r="X208" s="467"/>
      <c r="Y208" s="467"/>
      <c r="Z208" s="467"/>
      <c r="AA208" s="467"/>
      <c r="AB208" s="467"/>
      <c r="AC208" s="467"/>
      <c r="AD208" s="467"/>
      <c r="AE208" s="467"/>
      <c r="AF208" s="467"/>
      <c r="AG208" s="467"/>
    </row>
    <row r="209" spans="1:3">
      <c r="A209" s="467"/>
      <c r="B209" s="467"/>
      <c r="C209" s="467"/>
    </row>
    <row r="211" spans="1:3">
      <c r="A211" s="88" t="s">
        <v>205</v>
      </c>
    </row>
    <row r="213" spans="1:3">
      <c r="A213" s="88" t="s">
        <v>134</v>
      </c>
    </row>
    <row r="215" spans="1:3">
      <c r="A215" s="94" t="s">
        <v>274</v>
      </c>
    </row>
    <row r="216" spans="1:3">
      <c r="A216" s="94" t="s">
        <v>136</v>
      </c>
    </row>
  </sheetData>
  <mergeCells count="113">
    <mergeCell ref="BK2:BL2"/>
    <mergeCell ref="A3:AS3"/>
    <mergeCell ref="A8:AS10"/>
    <mergeCell ref="A17:AS17"/>
    <mergeCell ref="B127:AS128"/>
    <mergeCell ref="A23:AS23"/>
    <mergeCell ref="A25:AS25"/>
    <mergeCell ref="A27:AS45"/>
    <mergeCell ref="A47:AS47"/>
    <mergeCell ref="A57:AS57"/>
    <mergeCell ref="A79:AS79"/>
    <mergeCell ref="A93:AS93"/>
    <mergeCell ref="A100:AS100"/>
    <mergeCell ref="A108:AS108"/>
    <mergeCell ref="A116:AS116"/>
    <mergeCell ref="A124:AS124"/>
    <mergeCell ref="A51:AS55"/>
    <mergeCell ref="A81:AS91"/>
    <mergeCell ref="A59:AS77"/>
    <mergeCell ref="A95:AS98"/>
    <mergeCell ref="A102:AS106"/>
    <mergeCell ref="A110:AS114"/>
    <mergeCell ref="C163:AT163"/>
    <mergeCell ref="A164:AS164"/>
    <mergeCell ref="A166:D166"/>
    <mergeCell ref="E166:X166"/>
    <mergeCell ref="Y166:AE166"/>
    <mergeCell ref="AF166:AL166"/>
    <mergeCell ref="AM166:AS166"/>
    <mergeCell ref="A19:AS21"/>
    <mergeCell ref="A2:AS2"/>
    <mergeCell ref="A118:AS122"/>
    <mergeCell ref="Y168:AE168"/>
    <mergeCell ref="AF168:AL168"/>
    <mergeCell ref="AM168:AS168"/>
    <mergeCell ref="A169:D169"/>
    <mergeCell ref="E169:X169"/>
    <mergeCell ref="Y169:AE169"/>
    <mergeCell ref="AF169:AL169"/>
    <mergeCell ref="AM169:AS169"/>
    <mergeCell ref="A167:D167"/>
    <mergeCell ref="E167:X167"/>
    <mergeCell ref="Y167:AE167"/>
    <mergeCell ref="AF167:AL167"/>
    <mergeCell ref="AM167:AS167"/>
    <mergeCell ref="A168:D168"/>
    <mergeCell ref="E168:X168"/>
    <mergeCell ref="A175:AS175"/>
    <mergeCell ref="A172:D172"/>
    <mergeCell ref="E172:X172"/>
    <mergeCell ref="Y172:AE172"/>
    <mergeCell ref="AF172:AL172"/>
    <mergeCell ref="AM172:AS172"/>
    <mergeCell ref="A173:D173"/>
    <mergeCell ref="E173:X173"/>
    <mergeCell ref="Y173:AE173"/>
    <mergeCell ref="AF173:AL173"/>
    <mergeCell ref="AM173:AS173"/>
    <mergeCell ref="A170:D170"/>
    <mergeCell ref="E170:X170"/>
    <mergeCell ref="Y170:AE170"/>
    <mergeCell ref="AF170:AL170"/>
    <mergeCell ref="AM170:AS170"/>
    <mergeCell ref="A171:D171"/>
    <mergeCell ref="E171:X171"/>
    <mergeCell ref="Y171:AE171"/>
    <mergeCell ref="AF171:AL171"/>
    <mergeCell ref="AM171:AS171"/>
    <mergeCell ref="A207:C207"/>
    <mergeCell ref="A198:C198"/>
    <mergeCell ref="A199:C199"/>
    <mergeCell ref="A200:C200"/>
    <mergeCell ref="A201:C201"/>
    <mergeCell ref="A202:C202"/>
    <mergeCell ref="A194:C194"/>
    <mergeCell ref="A195:C195"/>
    <mergeCell ref="A196:C196"/>
    <mergeCell ref="A197:C197"/>
    <mergeCell ref="D208:AG208"/>
    <mergeCell ref="AH206:AT206"/>
    <mergeCell ref="AH207:AT207"/>
    <mergeCell ref="AH194:AS194"/>
    <mergeCell ref="A208:C208"/>
    <mergeCell ref="A209:C209"/>
    <mergeCell ref="D194:AG194"/>
    <mergeCell ref="D195:AG195"/>
    <mergeCell ref="D196:AG196"/>
    <mergeCell ref="D197:AG197"/>
    <mergeCell ref="D198:AG198"/>
    <mergeCell ref="D199:AG199"/>
    <mergeCell ref="D200:AG200"/>
    <mergeCell ref="D201:AG201"/>
    <mergeCell ref="D202:AG202"/>
    <mergeCell ref="D203:AG203"/>
    <mergeCell ref="D204:AG204"/>
    <mergeCell ref="D205:AG205"/>
    <mergeCell ref="D206:AG206"/>
    <mergeCell ref="D207:AG207"/>
    <mergeCell ref="A203:C203"/>
    <mergeCell ref="A204:C204"/>
    <mergeCell ref="A205:C205"/>
    <mergeCell ref="A206:C206"/>
    <mergeCell ref="AH205:AS205"/>
    <mergeCell ref="AH200:AS200"/>
    <mergeCell ref="AH201:AS201"/>
    <mergeCell ref="AH202:AS202"/>
    <mergeCell ref="AH203:AS203"/>
    <mergeCell ref="AH204:AS204"/>
    <mergeCell ref="AH195:AS195"/>
    <mergeCell ref="AH196:AS196"/>
    <mergeCell ref="AH197:AS197"/>
    <mergeCell ref="AH198:AS198"/>
    <mergeCell ref="AH199:AS199"/>
  </mergeCells>
  <pageMargins left="0.70866141732283472" right="0.39370078740157483" top="0.39370078740157483" bottom="0.39370078740157483" header="0.19685039370078741" footer="0.19685039370078741"/>
  <pageSetup paperSize="9" scale="99" orientation="portrait" r:id="rId1"/>
  <rowBreaks count="2" manualBreakCount="2">
    <brk id="148" max="45" man="1"/>
    <brk id="186" max="45" man="1"/>
  </rowBreaks>
  <colBreaks count="2" manualBreakCount="2">
    <brk id="46" max="175" man="1"/>
    <brk id="47" max="175" man="1"/>
  </colBreaks>
</worksheet>
</file>

<file path=xl/worksheets/sheet5.xml><?xml version="1.0" encoding="utf-8"?>
<worksheet xmlns="http://schemas.openxmlformats.org/spreadsheetml/2006/main" xmlns:r="http://schemas.openxmlformats.org/officeDocument/2006/relationships">
  <dimension ref="A1:X22"/>
  <sheetViews>
    <sheetView workbookViewId="0">
      <selection activeCell="B22" sqref="B22"/>
    </sheetView>
  </sheetViews>
  <sheetFormatPr defaultRowHeight="15"/>
  <cols>
    <col min="1" max="1" width="31.42578125" customWidth="1"/>
    <col min="2" max="2" width="89.28515625" bestFit="1" customWidth="1"/>
    <col min="3" max="3" width="16.42578125" customWidth="1"/>
    <col min="4" max="4" width="9.140625" style="342"/>
    <col min="5" max="5" width="12.42578125" style="342" customWidth="1"/>
    <col min="6" max="6" width="15" customWidth="1"/>
    <col min="7" max="7" width="1.85546875" customWidth="1"/>
    <col min="8" max="8" width="11.7109375" customWidth="1"/>
    <col min="22" max="22" width="48.42578125" customWidth="1"/>
    <col min="23" max="23" width="2.28515625" customWidth="1"/>
    <col min="24" max="24" width="35.140625" customWidth="1"/>
  </cols>
  <sheetData>
    <row r="1" spans="1:24" ht="15.75" thickBot="1">
      <c r="A1" s="499" t="s">
        <v>583</v>
      </c>
      <c r="B1" s="500"/>
      <c r="D1" s="501" t="s">
        <v>584</v>
      </c>
      <c r="E1" s="502"/>
      <c r="F1" s="503"/>
      <c r="H1" s="504"/>
      <c r="I1" s="504"/>
      <c r="J1" s="504"/>
      <c r="V1" s="343"/>
    </row>
    <row r="2" spans="1:24" ht="15.75">
      <c r="A2" s="344" t="s">
        <v>90</v>
      </c>
      <c r="B2" s="345" t="str">
        <f ca="1">CONCATENATE(E2,"/",H3,"-",E5,"(",F4,")",E6)</f>
        <v>30/03-А(23)</v>
      </c>
      <c r="D2" s="346" t="s">
        <v>585</v>
      </c>
      <c r="E2" s="347">
        <f ca="1">DAY(TODAY())</f>
        <v>30</v>
      </c>
      <c r="F2" s="348"/>
      <c r="H2" s="349"/>
      <c r="I2" s="349"/>
      <c r="J2" s="350"/>
      <c r="V2" s="343" t="s">
        <v>586</v>
      </c>
    </row>
    <row r="3" spans="1:24" ht="15.75">
      <c r="A3" s="351" t="s">
        <v>91</v>
      </c>
      <c r="B3" s="352" t="str">
        <f ca="1">CONCATENATE(E2," ",F3," ",E4,"г.")</f>
        <v>30 марта 2023г.</v>
      </c>
      <c r="D3" s="353" t="s">
        <v>587</v>
      </c>
      <c r="E3" s="354">
        <f ca="1">MONTH(TODAY())</f>
        <v>3</v>
      </c>
      <c r="F3" s="355" t="str">
        <f ca="1">IF(E3=1,"января",IF(E3=2,"февраля",IF(E3=3,"марта",IF(E3=4,"апреля",IF(E3=5,"мая",IF(E3=6,"июня",IF(E3=7,"июля",IF(E3=8,"августа",IF(E3=9,"сентября",IF(E3=10,"октября",IF(E3=11,"ноября",IF(E3=12,"декабря"))))))))))))</f>
        <v>марта</v>
      </c>
      <c r="H3" s="356" t="str">
        <f ca="1">IF(E3=1,"01",IF(E3=2,"02",IF(E3=3,"03",IF(E3=4,"04",IF(E3=5,"05",IF(E3=6,"06",IF(E3=7,"07",IF(E3=8,"08",IF(E3=9,"09",IF(E3=10,"10",IF(E3=11,"11",IF(E3=12,"12"))))))))))))</f>
        <v>03</v>
      </c>
      <c r="I3" s="349"/>
      <c r="J3" s="349"/>
      <c r="V3" t="s">
        <v>588</v>
      </c>
      <c r="X3" s="343" t="s">
        <v>589</v>
      </c>
    </row>
    <row r="4" spans="1:24" ht="15.75">
      <c r="A4" s="357" t="s">
        <v>209</v>
      </c>
      <c r="B4" s="358" t="s">
        <v>645</v>
      </c>
      <c r="D4" s="353" t="s">
        <v>590</v>
      </c>
      <c r="E4" s="354">
        <f ca="1">YEAR(TODAY())</f>
        <v>2023</v>
      </c>
      <c r="F4" s="355" t="str">
        <f ca="1">RIGHT(E4,2)</f>
        <v>23</v>
      </c>
      <c r="H4" s="349"/>
      <c r="I4" s="349"/>
      <c r="J4" s="349"/>
      <c r="V4" t="s">
        <v>582</v>
      </c>
      <c r="X4" t="s">
        <v>591</v>
      </c>
    </row>
    <row r="5" spans="1:24" ht="15.75">
      <c r="A5" s="357" t="s">
        <v>521</v>
      </c>
      <c r="B5" s="359" t="s">
        <v>582</v>
      </c>
      <c r="D5" s="353" t="s">
        <v>592</v>
      </c>
      <c r="E5" s="354" t="s">
        <v>593</v>
      </c>
      <c r="F5" s="360"/>
      <c r="H5" s="350"/>
      <c r="I5" s="350"/>
      <c r="J5" s="350"/>
      <c r="V5" t="s">
        <v>594</v>
      </c>
      <c r="X5" t="s">
        <v>595</v>
      </c>
    </row>
    <row r="6" spans="1:24" ht="16.5" thickBot="1">
      <c r="A6" s="357" t="s">
        <v>522</v>
      </c>
      <c r="B6" s="361" t="s">
        <v>646</v>
      </c>
      <c r="D6" s="362" t="s">
        <v>596</v>
      </c>
      <c r="E6" s="363"/>
      <c r="F6" s="49"/>
      <c r="H6" s="350"/>
      <c r="I6" s="350"/>
      <c r="J6" s="350"/>
      <c r="V6" t="s">
        <v>597</v>
      </c>
      <c r="X6" s="25" t="s">
        <v>598</v>
      </c>
    </row>
    <row r="7" spans="1:24" ht="15.75">
      <c r="A7" s="357" t="s">
        <v>599</v>
      </c>
      <c r="B7" s="359" t="s">
        <v>591</v>
      </c>
      <c r="C7" s="80"/>
      <c r="V7" t="s">
        <v>600</v>
      </c>
      <c r="X7" s="25" t="s">
        <v>601</v>
      </c>
    </row>
    <row r="8" spans="1:24" ht="15.75">
      <c r="A8" s="364" t="s">
        <v>602</v>
      </c>
      <c r="B8" s="365"/>
      <c r="C8" s="80"/>
      <c r="V8" t="s">
        <v>603</v>
      </c>
      <c r="X8" s="25" t="s">
        <v>641</v>
      </c>
    </row>
    <row r="9" spans="1:24" ht="15.75">
      <c r="A9" s="357" t="s">
        <v>216</v>
      </c>
      <c r="B9" s="425" t="s">
        <v>648</v>
      </c>
      <c r="I9" s="366"/>
      <c r="V9" s="25" t="s">
        <v>640</v>
      </c>
    </row>
    <row r="10" spans="1:24" ht="15.75">
      <c r="A10" s="357" t="s">
        <v>173</v>
      </c>
      <c r="B10" s="99" t="s">
        <v>650</v>
      </c>
    </row>
    <row r="11" spans="1:24" ht="15.75">
      <c r="A11" s="357" t="s">
        <v>217</v>
      </c>
      <c r="B11" s="99" t="s">
        <v>651</v>
      </c>
    </row>
    <row r="12" spans="1:24" ht="15.75">
      <c r="A12" s="357" t="s">
        <v>218</v>
      </c>
      <c r="B12" s="99" t="s">
        <v>652</v>
      </c>
    </row>
    <row r="13" spans="1:24" ht="15.75">
      <c r="A13" s="357" t="s">
        <v>219</v>
      </c>
      <c r="B13" s="99" t="s">
        <v>653</v>
      </c>
    </row>
    <row r="14" spans="1:24" ht="15.75">
      <c r="A14" s="357" t="s">
        <v>170</v>
      </c>
      <c r="B14" s="99" t="s">
        <v>654</v>
      </c>
    </row>
    <row r="15" spans="1:24" ht="15.75">
      <c r="A15" s="357" t="s">
        <v>220</v>
      </c>
      <c r="B15" s="99" t="s">
        <v>655</v>
      </c>
    </row>
    <row r="16" spans="1:24" ht="15.75">
      <c r="A16" s="357" t="s">
        <v>221</v>
      </c>
      <c r="B16" s="99" t="s">
        <v>656</v>
      </c>
    </row>
    <row r="17" spans="1:5" ht="15.75">
      <c r="A17" s="351" t="s">
        <v>263</v>
      </c>
      <c r="B17" s="367" t="s">
        <v>649</v>
      </c>
    </row>
    <row r="18" spans="1:5" ht="15.75">
      <c r="A18" s="351" t="s">
        <v>131</v>
      </c>
      <c r="B18" s="368"/>
      <c r="C18" s="343" t="s">
        <v>604</v>
      </c>
      <c r="D18"/>
      <c r="E18"/>
    </row>
    <row r="19" spans="1:5" ht="15.75">
      <c r="A19" s="369" t="s">
        <v>544</v>
      </c>
      <c r="B19" s="370" t="s">
        <v>647</v>
      </c>
      <c r="D19"/>
      <c r="E19"/>
    </row>
    <row r="20" spans="1:5" ht="15.75">
      <c r="A20" s="371" t="s">
        <v>605</v>
      </c>
      <c r="B20" s="372" t="s">
        <v>657</v>
      </c>
      <c r="D20"/>
      <c r="E20"/>
    </row>
    <row r="22" spans="1:5" ht="15.75">
      <c r="A22" s="373" t="s">
        <v>606</v>
      </c>
      <c r="B22" s="374" t="s">
        <v>92</v>
      </c>
      <c r="D22"/>
      <c r="E22"/>
    </row>
  </sheetData>
  <mergeCells count="3">
    <mergeCell ref="A1:B1"/>
    <mergeCell ref="D1:F1"/>
    <mergeCell ref="H1:J1"/>
  </mergeCells>
  <dataValidations count="2">
    <dataValidation type="list" allowBlank="1" showInputMessage="1" showErrorMessage="1" sqref="B5">
      <formula1>INDIRECT("ВЛИЦЕ")</formula1>
    </dataValidation>
    <dataValidation type="list" allowBlank="1" showInputMessage="1" showErrorMessage="1" sqref="B7">
      <formula1>INDIRECT("Действующий")</formula1>
    </dataValidation>
  </dataValidations>
  <hyperlinks>
    <hyperlink ref="B19" r:id="rId1"/>
  </hyperlinks>
  <pageMargins left="0.7" right="0.7" top="0.75" bottom="0.75" header="0.3" footer="0.3"/>
  <tableParts count="2">
    <tablePart r:id="rId2"/>
    <tablePart r:id="rId3"/>
  </tableParts>
</worksheet>
</file>

<file path=xl/worksheets/sheet6.xml><?xml version="1.0" encoding="utf-8"?>
<worksheet xmlns="http://schemas.openxmlformats.org/spreadsheetml/2006/main" xmlns:r="http://schemas.openxmlformats.org/officeDocument/2006/relationships">
  <sheetPr codeName="Лист4"/>
  <dimension ref="A1:CL270"/>
  <sheetViews>
    <sheetView topLeftCell="A2" zoomScaleNormal="100" workbookViewId="0">
      <selection activeCell="A38" sqref="A38:AS38"/>
    </sheetView>
  </sheetViews>
  <sheetFormatPr defaultColWidth="2" defaultRowHeight="15.75"/>
  <cols>
    <col min="1" max="3" width="2" style="93" customWidth="1"/>
    <col min="4" max="6" width="2" style="93"/>
    <col min="7" max="7" width="2.28515625" style="93" bestFit="1" customWidth="1"/>
    <col min="8" max="8" width="2" style="93"/>
    <col min="9" max="9" width="1.7109375" style="93" customWidth="1"/>
    <col min="10" max="10" width="3" style="93" customWidth="1"/>
    <col min="11" max="11" width="2" style="93"/>
    <col min="12" max="12" width="2.42578125" style="93" customWidth="1"/>
    <col min="13" max="15" width="2" style="93"/>
    <col min="16" max="16" width="2.7109375" style="93" customWidth="1"/>
    <col min="17" max="35" width="2" style="93"/>
    <col min="36" max="36" width="2" style="93" customWidth="1"/>
    <col min="37" max="45" width="2" style="93"/>
    <col min="46" max="46" width="1.5703125" style="93" customWidth="1"/>
    <col min="47" max="47" width="19.5703125" style="93" customWidth="1"/>
    <col min="48" max="48" width="18.42578125" style="93" customWidth="1"/>
    <col min="49" max="49" width="44.28515625" style="93" bestFit="1" customWidth="1"/>
    <col min="50" max="51" width="2.7109375" style="93" bestFit="1" customWidth="1"/>
    <col min="52" max="53" width="3.28515625" style="93" bestFit="1" customWidth="1"/>
    <col min="54" max="54" width="4" style="93" bestFit="1" customWidth="1"/>
    <col min="55" max="55" width="9" style="93" customWidth="1"/>
    <col min="56" max="57" width="2" style="93" hidden="1" customWidth="1"/>
    <col min="58" max="58" width="4.7109375" style="93" customWidth="1"/>
    <col min="59" max="59" width="2.28515625" style="93" hidden="1" customWidth="1"/>
    <col min="60" max="61" width="2.42578125" style="93" hidden="1" customWidth="1"/>
    <col min="62" max="62" width="3.42578125" style="93" hidden="1" customWidth="1"/>
    <col min="63" max="63" width="11.42578125" style="93" customWidth="1"/>
    <col min="64" max="64" width="18.5703125" style="93" customWidth="1"/>
    <col min="65" max="65" width="3" style="93" bestFit="1" customWidth="1"/>
    <col min="66" max="74" width="2" style="93"/>
    <col min="75" max="75" width="20.28515625" style="93" customWidth="1"/>
    <col min="76" max="76" width="57.5703125" style="93" customWidth="1"/>
    <col min="77" max="16384" width="2" style="93"/>
  </cols>
  <sheetData>
    <row r="1" spans="1:76" ht="20.25" hidden="1" customHeight="1">
      <c r="A1" s="93">
        <f>'Расчет лесов'!C3</f>
        <v>210</v>
      </c>
      <c r="B1" s="93">
        <f>AW41</f>
        <v>0</v>
      </c>
    </row>
    <row r="2" spans="1:76">
      <c r="AW2" s="267"/>
      <c r="BK2" s="467" t="s">
        <v>139</v>
      </c>
      <c r="BL2" s="467"/>
      <c r="BW2" s="307" t="s">
        <v>500</v>
      </c>
      <c r="BX2" s="93" t="str">
        <f>IF($AW$20="без НДС",реквизиты!C3,реквизиты!G3)</f>
        <v>Универсальная производственно-строительная компания</v>
      </c>
    </row>
    <row r="3" spans="1:76">
      <c r="A3" s="468" t="str">
        <f ca="1">CONCATENATE("ДОГОВОР АРЕНДЫ ОБОРУДОВАНИЯ №",ДляДоговора!B2)</f>
        <v>ДОГОВОР АРЕНДЫ ОБОРУДОВАНИЯ №30/03-А(23)</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W3" s="268"/>
      <c r="BK3" s="93" t="s">
        <v>138</v>
      </c>
      <c r="BL3" s="93">
        <f>'Расчет лесов'!C4</f>
        <v>30</v>
      </c>
      <c r="BW3" s="307" t="s">
        <v>503</v>
      </c>
      <c r="BX3" s="306" t="str">
        <f>IF($AW$20="без НДС",реквизиты!C4,реквизиты!G4)</f>
        <v>Выборных Андрея Павловича</v>
      </c>
    </row>
    <row r="4" spans="1:76">
      <c r="AV4" s="127"/>
      <c r="AW4" s="377"/>
      <c r="BW4" s="307" t="s">
        <v>505</v>
      </c>
      <c r="BX4" s="306" t="str">
        <f>IF($AW$20="без НДС",реквизиты!C5,реквизиты!G5)</f>
        <v>А.П. Выборных</v>
      </c>
    </row>
    <row r="5" spans="1:76">
      <c r="A5" s="94" t="str">
        <f>ДляДоговора!B22</f>
        <v>г. Екатеринбург</v>
      </c>
      <c r="AK5" s="575" t="str">
        <f ca="1">ДляДоговора!B3</f>
        <v>30 марта 2023г.</v>
      </c>
      <c r="AL5" s="575"/>
      <c r="AM5" s="575"/>
      <c r="AN5" s="575"/>
      <c r="AO5" s="575"/>
      <c r="AP5" s="575"/>
      <c r="AQ5" s="575"/>
      <c r="AR5" s="575"/>
      <c r="AS5" s="575"/>
      <c r="AT5" s="575"/>
      <c r="AV5" s="127"/>
      <c r="AW5" s="378"/>
      <c r="BK5" s="93" t="s">
        <v>224</v>
      </c>
      <c r="BL5" s="93">
        <f>'Расчет лесов'!J3</f>
        <v>3</v>
      </c>
      <c r="BW5" s="307" t="s">
        <v>173</v>
      </c>
      <c r="BX5" s="306" t="str">
        <f>IF($AW$20="без НДС",реквизиты!C6,реквизиты!G6)</f>
        <v>6670463929</v>
      </c>
    </row>
    <row r="6" spans="1:76">
      <c r="AV6" s="127"/>
      <c r="AW6" s="378"/>
      <c r="BK6" s="93" t="s">
        <v>14</v>
      </c>
      <c r="BL6" s="93">
        <f>'Расчет лесов'!K3</f>
        <v>8</v>
      </c>
      <c r="BW6" s="307" t="s">
        <v>217</v>
      </c>
      <c r="BX6" s="306" t="str">
        <f>IF($AW$20="без НДС",реквизиты!C7,реквизиты!G7)</f>
        <v>667001001</v>
      </c>
    </row>
    <row r="7" spans="1:76">
      <c r="A7" s="571" t="str">
        <f>"Общество с ограниченной ответственностью «"&amp;BX2&amp;"» (ООО «УПСК»), именуемое в дальнейшем «Арендодатель», в лице директора "&amp;BX3&amp;", действующего на основании Устава, с одной стороны, и  "&amp;ДляДоговора!B4&amp;" именуемое в дальнейшем «Арендатор», в лице "&amp;ДляДоговора!B5&amp;" "&amp;ДляДоговора!B6&amp;", действующего на основании "&amp;ДляДоговора!B7&amp;ДляДоговора!B8&amp;", с другой стороны, именуемые вместе «Стороны», а по отдельности «Сторона», заключили настоящий договор (далее - Договор) о нижеследующем."</f>
        <v>Общество с ограниченной ответственностью «Универсальная производственно-строительная компания» (ООО «УПСК»), именуемое в дальнейшем «Арендодатель», в лице директора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именуемые вместе «Стороны», а по отдельности «Сторона», заключили настоящий договор (далее - Договор) о нижеследующем.</v>
      </c>
      <c r="B7" s="571"/>
      <c r="C7" s="571"/>
      <c r="D7" s="571"/>
      <c r="E7" s="571"/>
      <c r="F7" s="571"/>
      <c r="G7" s="571"/>
      <c r="H7" s="571"/>
      <c r="I7" s="571"/>
      <c r="J7" s="571"/>
      <c r="K7" s="571"/>
      <c r="L7" s="571"/>
      <c r="M7" s="571"/>
      <c r="N7" s="571"/>
      <c r="O7" s="571"/>
      <c r="P7" s="571"/>
      <c r="Q7" s="571"/>
      <c r="R7" s="571"/>
      <c r="S7" s="571"/>
      <c r="T7" s="571"/>
      <c r="U7" s="571"/>
      <c r="V7" s="571"/>
      <c r="W7" s="571"/>
      <c r="X7" s="571"/>
      <c r="Y7" s="571"/>
      <c r="Z7" s="571"/>
      <c r="AA7" s="571"/>
      <c r="AB7" s="571"/>
      <c r="AC7" s="571"/>
      <c r="AD7" s="571"/>
      <c r="AE7" s="571"/>
      <c r="AF7" s="571"/>
      <c r="AG7" s="571"/>
      <c r="AH7" s="571"/>
      <c r="AI7" s="571"/>
      <c r="AJ7" s="571"/>
      <c r="AK7" s="571"/>
      <c r="AL7" s="571"/>
      <c r="AM7" s="571"/>
      <c r="AN7" s="571"/>
      <c r="AO7" s="571"/>
      <c r="AP7" s="571"/>
      <c r="AQ7" s="571"/>
      <c r="AR7" s="571"/>
      <c r="AS7" s="571"/>
      <c r="AV7" s="127"/>
      <c r="AW7" s="379"/>
      <c r="BW7" s="307" t="s">
        <v>221</v>
      </c>
      <c r="BX7" s="306" t="str">
        <f>IF($AW$20="без НДС",реквизиты!C8,реквизиты!G8)</f>
        <v>1186658009042</v>
      </c>
    </row>
    <row r="8" spans="1:76" ht="15.75" customHeight="1">
      <c r="A8" s="571"/>
      <c r="B8" s="571"/>
      <c r="C8" s="571"/>
      <c r="D8" s="571"/>
      <c r="E8" s="571"/>
      <c r="F8" s="571"/>
      <c r="G8" s="571"/>
      <c r="H8" s="571"/>
      <c r="I8" s="571"/>
      <c r="J8" s="571"/>
      <c r="K8" s="571"/>
      <c r="L8" s="571"/>
      <c r="M8" s="571"/>
      <c r="N8" s="571"/>
      <c r="O8" s="571"/>
      <c r="P8" s="571"/>
      <c r="Q8" s="571"/>
      <c r="R8" s="571"/>
      <c r="S8" s="571"/>
      <c r="T8" s="571"/>
      <c r="U8" s="571"/>
      <c r="V8" s="571"/>
      <c r="W8" s="571"/>
      <c r="X8" s="571"/>
      <c r="Y8" s="571"/>
      <c r="Z8" s="571"/>
      <c r="AA8" s="571"/>
      <c r="AB8" s="571"/>
      <c r="AC8" s="571"/>
      <c r="AD8" s="571"/>
      <c r="AE8" s="571"/>
      <c r="AF8" s="571"/>
      <c r="AG8" s="571"/>
      <c r="AH8" s="571"/>
      <c r="AI8" s="571"/>
      <c r="AJ8" s="571"/>
      <c r="AK8" s="571"/>
      <c r="AL8" s="571"/>
      <c r="AM8" s="571"/>
      <c r="AN8" s="571"/>
      <c r="AO8" s="571"/>
      <c r="AP8" s="571"/>
      <c r="AQ8" s="571"/>
      <c r="AR8" s="571"/>
      <c r="AS8" s="571"/>
      <c r="AV8" s="127"/>
      <c r="AW8" s="380"/>
      <c r="BL8" s="196">
        <f ca="1">TODAY()</f>
        <v>45015</v>
      </c>
      <c r="BW8" s="307" t="s">
        <v>509</v>
      </c>
      <c r="BX8" s="306" t="str">
        <f>IF($AW$20="без НДС",реквизиты!C9,реквизиты!G9)</f>
        <v>620066, Свердловская область, г. Екатеринбург, ул. Вилонова, стр. 45Л, офис 506,</v>
      </c>
    </row>
    <row r="9" spans="1:76">
      <c r="A9" s="571"/>
      <c r="B9" s="571"/>
      <c r="C9" s="571"/>
      <c r="D9" s="571"/>
      <c r="E9" s="571"/>
      <c r="F9" s="571"/>
      <c r="G9" s="571"/>
      <c r="H9" s="571"/>
      <c r="I9" s="571"/>
      <c r="J9" s="571"/>
      <c r="K9" s="571"/>
      <c r="L9" s="571"/>
      <c r="M9" s="571"/>
      <c r="N9" s="571"/>
      <c r="O9" s="571"/>
      <c r="P9" s="571"/>
      <c r="Q9" s="571"/>
      <c r="R9" s="571"/>
      <c r="S9" s="571"/>
      <c r="T9" s="571"/>
      <c r="U9" s="571"/>
      <c r="V9" s="571"/>
      <c r="W9" s="571"/>
      <c r="X9" s="571"/>
      <c r="Y9" s="571"/>
      <c r="Z9" s="571"/>
      <c r="AA9" s="571"/>
      <c r="AB9" s="571"/>
      <c r="AC9" s="571"/>
      <c r="AD9" s="571"/>
      <c r="AE9" s="571"/>
      <c r="AF9" s="571"/>
      <c r="AG9" s="571"/>
      <c r="AH9" s="571"/>
      <c r="AI9" s="571"/>
      <c r="AJ9" s="571"/>
      <c r="AK9" s="571"/>
      <c r="AL9" s="571"/>
      <c r="AM9" s="571"/>
      <c r="AN9" s="571"/>
      <c r="AO9" s="571"/>
      <c r="AP9" s="571"/>
      <c r="AQ9" s="571"/>
      <c r="AR9" s="571"/>
      <c r="AS9" s="571"/>
      <c r="AV9" s="127"/>
      <c r="AW9" s="380"/>
      <c r="BL9" s="93">
        <f ca="1">DAY(TODAY())</f>
        <v>30</v>
      </c>
      <c r="BM9" s="273">
        <v>-4</v>
      </c>
      <c r="BW9" s="307" t="s">
        <v>508</v>
      </c>
      <c r="BX9" s="306" t="str">
        <f>IF($AW$20="без НДС",реквизиты!C10,реквизиты!G10)</f>
        <v>620066, Свердловская область, г. Екатеринбург, ул. Вилонова, стр. 45Л</v>
      </c>
    </row>
    <row r="10" spans="1:76">
      <c r="A10" s="571"/>
      <c r="B10" s="571"/>
      <c r="C10" s="571"/>
      <c r="D10" s="571"/>
      <c r="E10" s="571"/>
      <c r="F10" s="571"/>
      <c r="G10" s="571"/>
      <c r="H10" s="571"/>
      <c r="I10" s="571"/>
      <c r="J10" s="571"/>
      <c r="K10" s="571"/>
      <c r="L10" s="571"/>
      <c r="M10" s="571"/>
      <c r="N10" s="571"/>
      <c r="O10" s="571"/>
      <c r="P10" s="571"/>
      <c r="Q10" s="571"/>
      <c r="R10" s="571"/>
      <c r="S10" s="571"/>
      <c r="T10" s="571"/>
      <c r="U10" s="571"/>
      <c r="V10" s="571"/>
      <c r="W10" s="571"/>
      <c r="X10" s="571"/>
      <c r="Y10" s="571"/>
      <c r="Z10" s="571"/>
      <c r="AA10" s="571"/>
      <c r="AB10" s="571"/>
      <c r="AC10" s="571"/>
      <c r="AD10" s="571"/>
      <c r="AE10" s="571"/>
      <c r="AF10" s="571"/>
      <c r="AG10" s="571"/>
      <c r="AH10" s="571"/>
      <c r="AI10" s="571"/>
      <c r="AJ10" s="571"/>
      <c r="AK10" s="571"/>
      <c r="AL10" s="571"/>
      <c r="AM10" s="571"/>
      <c r="AN10" s="571"/>
      <c r="AO10" s="571"/>
      <c r="AP10" s="571"/>
      <c r="AQ10" s="571"/>
      <c r="AR10" s="571"/>
      <c r="AS10" s="571"/>
      <c r="AV10" s="127"/>
      <c r="AW10" s="380"/>
      <c r="BF10" s="96">
        <f ca="1">MONTH(TODAY())</f>
        <v>3</v>
      </c>
      <c r="BL10" s="93">
        <f ca="1">YEAR(TODAY())</f>
        <v>2023</v>
      </c>
      <c r="BW10" s="307" t="s">
        <v>511</v>
      </c>
      <c r="BX10" s="306" t="str">
        <f>IF($AW$20="без НДС",реквизиты!C11,реквизиты!G11)</f>
        <v>40702810816540041503</v>
      </c>
    </row>
    <row r="11" spans="1:76" ht="30" customHeight="1">
      <c r="A11" s="571"/>
      <c r="B11" s="571"/>
      <c r="C11" s="571"/>
      <c r="D11" s="571"/>
      <c r="E11" s="571"/>
      <c r="F11" s="571"/>
      <c r="G11" s="571"/>
      <c r="H11" s="571"/>
      <c r="I11" s="571"/>
      <c r="J11" s="571"/>
      <c r="K11" s="571"/>
      <c r="L11" s="571"/>
      <c r="M11" s="571"/>
      <c r="N11" s="571"/>
      <c r="O11" s="571"/>
      <c r="P11" s="571"/>
      <c r="Q11" s="571"/>
      <c r="R11" s="571"/>
      <c r="S11" s="571"/>
      <c r="T11" s="571"/>
      <c r="U11" s="571"/>
      <c r="V11" s="571"/>
      <c r="W11" s="571"/>
      <c r="X11" s="571"/>
      <c r="Y11" s="571"/>
      <c r="Z11" s="571"/>
      <c r="AA11" s="571"/>
      <c r="AB11" s="571"/>
      <c r="AC11" s="571"/>
      <c r="AD11" s="571"/>
      <c r="AE11" s="571"/>
      <c r="AF11" s="571"/>
      <c r="AG11" s="571"/>
      <c r="AH11" s="571"/>
      <c r="AI11" s="571"/>
      <c r="AJ11" s="571"/>
      <c r="AK11" s="571"/>
      <c r="AL11" s="571"/>
      <c r="AM11" s="571"/>
      <c r="AN11" s="571"/>
      <c r="AO11" s="571"/>
      <c r="AP11" s="571"/>
      <c r="AQ11" s="571"/>
      <c r="AR11" s="571"/>
      <c r="AS11" s="571"/>
      <c r="AV11" s="127"/>
      <c r="AW11" s="379"/>
      <c r="BL11" s="208" t="str">
        <f ca="1">IF(BF10=1,"01",IF(BF10=2,"02",IF(BF10=3,"03",IF(BF10=4,"04",IF(BF10=5,"05",IF(BF10=6,"06",IF(BF10=7,"07",IF(BF10=8,"08",IF(BF10=9,"09",IF(BF10=10,"10",IF(BF10=11,"11",IF(BF10=12,"12"))))))))))))</f>
        <v>03</v>
      </c>
      <c r="BW11" s="307" t="s">
        <v>219</v>
      </c>
      <c r="BX11" s="306" t="str">
        <f>IF($AW$20="без НДС",реквизиты!C12,реквизиты!G12)</f>
        <v>УРАЛЬСКИЙ БАНК ПАО СБЕРБАНК</v>
      </c>
    </row>
    <row r="12" spans="1:76">
      <c r="V12" s="94"/>
      <c r="AV12" s="127"/>
      <c r="AW12" s="380"/>
      <c r="BW12" s="307" t="s">
        <v>510</v>
      </c>
      <c r="BX12" s="306" t="str">
        <f>IF($AW$20="без НДС",реквизиты!C13,реквизиты!G13)</f>
        <v>30101810500000000674</v>
      </c>
    </row>
    <row r="13" spans="1:76">
      <c r="A13" s="574" t="s">
        <v>99</v>
      </c>
      <c r="B13" s="574"/>
      <c r="C13" s="574"/>
      <c r="D13" s="574"/>
      <c r="E13" s="574"/>
      <c r="F13" s="574"/>
      <c r="G13" s="574"/>
      <c r="H13" s="574"/>
      <c r="I13" s="574"/>
      <c r="J13" s="574"/>
      <c r="K13" s="574"/>
      <c r="L13" s="574"/>
      <c r="M13" s="574"/>
      <c r="N13" s="574"/>
      <c r="O13" s="574"/>
      <c r="P13" s="574"/>
      <c r="Q13" s="574"/>
      <c r="R13" s="574"/>
      <c r="S13" s="574"/>
      <c r="T13" s="574"/>
      <c r="U13" s="574"/>
      <c r="V13" s="574"/>
      <c r="W13" s="574"/>
      <c r="X13" s="574"/>
      <c r="Y13" s="574"/>
      <c r="Z13" s="574"/>
      <c r="AA13" s="574"/>
      <c r="AB13" s="574"/>
      <c r="AC13" s="574"/>
      <c r="AD13" s="574"/>
      <c r="AE13" s="574"/>
      <c r="AF13" s="574"/>
      <c r="AG13" s="574"/>
      <c r="AH13" s="574"/>
      <c r="AI13" s="574"/>
      <c r="AJ13" s="574"/>
      <c r="AK13" s="574"/>
      <c r="AL13" s="574"/>
      <c r="AM13" s="574"/>
      <c r="AN13" s="574"/>
      <c r="AO13" s="574"/>
      <c r="AP13" s="574"/>
      <c r="AQ13" s="574"/>
      <c r="AR13" s="574"/>
      <c r="AS13" s="574"/>
      <c r="AV13" s="127"/>
      <c r="AW13" s="380"/>
      <c r="BL13" s="207" t="str">
        <f ca="1">IF(BF10=1,"января",IF(BF10=2,"февраля",IF(BF10=3,"марта",IF(BF10=4,"апреля",IF(BF10=5,"мая",IF(BF10=6,"июня",IF(BF10=7,"июля",IF(BF10=8,"августа",IF(BF10=9,"сентября",IF(BF10=10,"октября",IF(BF10=11,"ноября",IF(BF10=12,"декабря"))))))))))))</f>
        <v>марта</v>
      </c>
      <c r="BW13" s="307" t="s">
        <v>170</v>
      </c>
      <c r="BX13" s="306" t="str">
        <f>IF($AW$20="без НДС",реквизиты!C14,реквизиты!G14)</f>
        <v>046577674</v>
      </c>
    </row>
    <row r="14" spans="1:76" ht="15.75" customHeight="1">
      <c r="A14" s="571" t="s">
        <v>658</v>
      </c>
      <c r="B14" s="571"/>
      <c r="C14" s="571"/>
      <c r="D14" s="571"/>
      <c r="E14" s="571"/>
      <c r="F14" s="571"/>
      <c r="G14" s="571"/>
      <c r="H14" s="571"/>
      <c r="I14" s="571"/>
      <c r="J14" s="571"/>
      <c r="K14" s="571"/>
      <c r="L14" s="571"/>
      <c r="M14" s="571"/>
      <c r="N14" s="571"/>
      <c r="O14" s="571"/>
      <c r="P14" s="571"/>
      <c r="Q14" s="571"/>
      <c r="R14" s="571"/>
      <c r="S14" s="571"/>
      <c r="T14" s="571"/>
      <c r="U14" s="571"/>
      <c r="V14" s="571"/>
      <c r="W14" s="571"/>
      <c r="X14" s="571"/>
      <c r="Y14" s="571"/>
      <c r="Z14" s="571"/>
      <c r="AA14" s="571"/>
      <c r="AB14" s="571"/>
      <c r="AC14" s="571"/>
      <c r="AD14" s="571"/>
      <c r="AE14" s="571"/>
      <c r="AF14" s="571"/>
      <c r="AG14" s="571"/>
      <c r="AH14" s="571"/>
      <c r="AI14" s="571"/>
      <c r="AJ14" s="571"/>
      <c r="AK14" s="571"/>
      <c r="AL14" s="571"/>
      <c r="AM14" s="571"/>
      <c r="AN14" s="571"/>
      <c r="AO14" s="571"/>
      <c r="AP14" s="571"/>
      <c r="AQ14" s="571"/>
      <c r="AR14" s="571"/>
      <c r="AS14" s="571"/>
      <c r="AV14" s="127"/>
      <c r="AW14" s="380"/>
    </row>
    <row r="15" spans="1:76" ht="30" customHeight="1">
      <c r="A15" s="571"/>
      <c r="B15" s="571"/>
      <c r="C15" s="571"/>
      <c r="D15" s="571"/>
      <c r="E15" s="571"/>
      <c r="F15" s="571"/>
      <c r="G15" s="571"/>
      <c r="H15" s="571"/>
      <c r="I15" s="571"/>
      <c r="J15" s="571"/>
      <c r="K15" s="571"/>
      <c r="L15" s="571"/>
      <c r="M15" s="571"/>
      <c r="N15" s="571"/>
      <c r="O15" s="571"/>
      <c r="P15" s="571"/>
      <c r="Q15" s="571"/>
      <c r="R15" s="571"/>
      <c r="S15" s="571"/>
      <c r="T15" s="571"/>
      <c r="U15" s="571"/>
      <c r="V15" s="571"/>
      <c r="W15" s="571"/>
      <c r="X15" s="571"/>
      <c r="Y15" s="571"/>
      <c r="Z15" s="571"/>
      <c r="AA15" s="571"/>
      <c r="AB15" s="571"/>
      <c r="AC15" s="571"/>
      <c r="AD15" s="571"/>
      <c r="AE15" s="571"/>
      <c r="AF15" s="571"/>
      <c r="AG15" s="571"/>
      <c r="AH15" s="571"/>
      <c r="AI15" s="571"/>
      <c r="AJ15" s="571"/>
      <c r="AK15" s="571"/>
      <c r="AL15" s="571"/>
      <c r="AM15" s="571"/>
      <c r="AN15" s="571"/>
      <c r="AO15" s="571"/>
      <c r="AP15" s="571"/>
      <c r="AQ15" s="571"/>
      <c r="AR15" s="571"/>
      <c r="AS15" s="571"/>
      <c r="AW15" s="275"/>
    </row>
    <row r="16" spans="1:76" ht="9.75" hidden="1" customHeight="1">
      <c r="A16" s="571"/>
      <c r="B16" s="571"/>
      <c r="C16" s="571"/>
      <c r="D16" s="571"/>
      <c r="E16" s="571"/>
      <c r="F16" s="571"/>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1"/>
      <c r="AL16" s="571"/>
      <c r="AM16" s="571"/>
      <c r="AN16" s="571"/>
      <c r="AO16" s="571"/>
      <c r="AP16" s="571"/>
      <c r="AQ16" s="571"/>
      <c r="AR16" s="571"/>
      <c r="AS16" s="571"/>
    </row>
    <row r="17" spans="1:50" ht="15.75" customHeight="1">
      <c r="A17" s="564" t="s">
        <v>350</v>
      </c>
      <c r="B17" s="564"/>
      <c r="C17" s="564"/>
      <c r="D17" s="564"/>
      <c r="E17" s="564"/>
      <c r="F17" s="564"/>
      <c r="G17" s="564"/>
      <c r="H17" s="564"/>
      <c r="I17" s="564"/>
      <c r="J17" s="564"/>
      <c r="K17" s="564"/>
      <c r="L17" s="564"/>
      <c r="M17" s="564"/>
      <c r="N17" s="564"/>
      <c r="O17" s="564"/>
      <c r="P17" s="564"/>
      <c r="Q17" s="564"/>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W17" s="375"/>
    </row>
    <row r="18" spans="1:50" ht="45" customHeight="1">
      <c r="A18" s="573" t="s">
        <v>659</v>
      </c>
      <c r="B18" s="573"/>
      <c r="C18" s="573"/>
      <c r="D18" s="573"/>
      <c r="E18" s="573"/>
      <c r="F18" s="573"/>
      <c r="G18" s="573"/>
      <c r="H18" s="573"/>
      <c r="I18" s="573"/>
      <c r="J18" s="573"/>
      <c r="K18" s="573"/>
      <c r="L18" s="573"/>
      <c r="M18" s="573"/>
      <c r="N18" s="573"/>
      <c r="O18" s="573"/>
      <c r="P18" s="573"/>
      <c r="Q18" s="573"/>
      <c r="R18" s="573"/>
      <c r="S18" s="573"/>
      <c r="T18" s="573"/>
      <c r="U18" s="573"/>
      <c r="V18" s="573"/>
      <c r="W18" s="573"/>
      <c r="X18" s="573"/>
      <c r="Y18" s="573"/>
      <c r="Z18" s="573"/>
      <c r="AA18" s="573"/>
      <c r="AB18" s="573"/>
      <c r="AC18" s="573"/>
      <c r="AD18" s="573"/>
      <c r="AE18" s="573"/>
      <c r="AF18" s="573"/>
      <c r="AG18" s="573"/>
      <c r="AH18" s="573"/>
      <c r="AI18" s="573"/>
      <c r="AJ18" s="573"/>
      <c r="AK18" s="573"/>
      <c r="AL18" s="573"/>
      <c r="AM18" s="573"/>
      <c r="AN18" s="573"/>
      <c r="AO18" s="573"/>
      <c r="AP18" s="573"/>
      <c r="AQ18" s="573"/>
      <c r="AR18" s="573"/>
      <c r="AS18" s="573"/>
      <c r="AV18" s="93" t="s">
        <v>349</v>
      </c>
      <c r="AW18" s="193" t="str">
        <f>CONCATENATE('Расчет лесов'!L12,'Расчет лесов'!M12)</f>
        <v>24м2</v>
      </c>
    </row>
    <row r="19" spans="1:50" ht="15" customHeight="1">
      <c r="A19" s="137"/>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W19" s="376"/>
    </row>
    <row r="20" spans="1:50" ht="15.75" customHeight="1">
      <c r="A20" s="570" t="s">
        <v>352</v>
      </c>
      <c r="B20" s="570"/>
      <c r="C20" s="570"/>
      <c r="D20" s="570"/>
      <c r="E20" s="570"/>
      <c r="F20" s="570"/>
      <c r="G20" s="570"/>
      <c r="H20" s="570"/>
      <c r="I20" s="570"/>
      <c r="J20" s="570"/>
      <c r="K20" s="570"/>
      <c r="L20" s="570"/>
      <c r="M20" s="570"/>
      <c r="N20" s="570"/>
      <c r="O20" s="570"/>
      <c r="P20" s="570"/>
      <c r="Q20" s="570"/>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V20" s="207" t="s">
        <v>523</v>
      </c>
      <c r="AW20" s="304" t="s">
        <v>534</v>
      </c>
    </row>
    <row r="21" spans="1:50" ht="30" customHeight="1">
      <c r="A21" s="576" t="s">
        <v>371</v>
      </c>
      <c r="B21" s="576"/>
      <c r="C21" s="576"/>
      <c r="D21" s="576"/>
      <c r="E21" s="576"/>
      <c r="F21" s="576"/>
      <c r="G21" s="576"/>
      <c r="H21" s="576"/>
      <c r="I21" s="576"/>
      <c r="J21" s="576"/>
      <c r="K21" s="576"/>
      <c r="L21" s="576"/>
      <c r="M21" s="576"/>
      <c r="N21" s="576"/>
      <c r="O21" s="576"/>
      <c r="P21" s="576"/>
      <c r="Q21" s="576"/>
      <c r="R21" s="576"/>
      <c r="S21" s="576"/>
      <c r="T21" s="576"/>
      <c r="U21" s="576"/>
      <c r="V21" s="576"/>
      <c r="W21" s="576"/>
      <c r="X21" s="576"/>
      <c r="Y21" s="576"/>
      <c r="Z21" s="576"/>
      <c r="AA21" s="576"/>
      <c r="AB21" s="576"/>
      <c r="AC21" s="576"/>
      <c r="AD21" s="576"/>
      <c r="AE21" s="576"/>
      <c r="AF21" s="576"/>
      <c r="AG21" s="576"/>
      <c r="AH21" s="576"/>
      <c r="AI21" s="576"/>
      <c r="AJ21" s="576"/>
      <c r="AK21" s="576"/>
      <c r="AL21" s="576"/>
      <c r="AM21" s="576"/>
      <c r="AN21" s="576"/>
      <c r="AO21" s="576"/>
      <c r="AP21" s="576"/>
      <c r="AQ21" s="576"/>
      <c r="AR21" s="576"/>
      <c r="AS21" s="576"/>
      <c r="AV21" s="93" t="s">
        <v>104</v>
      </c>
      <c r="AW21" s="127" t="str">
        <f>SUBSTITUTE(PROPER(INDEX(n_4,MID(TEXT(A1,n0),1,1)+1)&amp;INDEX(n0x,MID(TEXT(A1,n0),2,1)+1,MID(TEXT(A1,n0),3,1)+1)&amp;IF(-MID(TEXT(A1,n0),1,3),"миллиард"&amp;VLOOKUP(MID(TEXT(A1,n0),3,1)*AND(MID(TEXT(A1,n0),2,1)-1),мил,2),"")&amp;INDEX(n_4,MID(TEXT(A1,n0),4,1)+1)&amp;INDEX(n0x,MID(TEXT(A1,n0),5,1)+1,MID(TEXT(A1,n0),6,1)+1)&amp;IF(-MID(TEXT(A1,n0),4,3),"миллион"&amp;VLOOKUP(MID(TEXT(A1,n0),6,1)*AND(MID(TEXT(A1,n0),5,1)-1),мил,2),"")&amp;INDEX(n_4,MID(TEXT(A1,n0),7,1)+1)&amp;INDEX(n1x,MID(TEXT(A1,n0),8,1)+1,MID(TEXT(A1,n0),9,1)+1)&amp;IF(-MID(TEXT(A1,n0),7,3),VLOOKUP(MID(TEXT(A1,n0),9,1)*AND(MID(TEXT(A1,n0),8,1)-1),тыс,2),"")&amp;INDEX(n_4,MID(TEXT(A1,n0),10,1)+1)&amp;INDEX(n0x,MID(TEXT(A1,n0),11,1)+1,MID(TEXT(A1,n0),12,1)+1)),"z"," ")&amp;IF(TRUNC(TEXT(A1,n0)),"","Ноль ")&amp;"рубл"&amp;VLOOKUP(MOD(MAX(MOD(MID(TEXT(A1,n0),11,2)-11,100),9),10),{0,"ь ";1,"я ";4,"ей "},2)&amp;RIGHT(TEXT(A1,n0),2)&amp;" копе"&amp;VLOOKUP(MOD(MAX(MOD(RIGHT(TEXT(A1,n0),2)-11,100),9),10),{0,"йка";1,"йки";4,"ек"},2)</f>
        <v>Двести десять рублей 00 копеек</v>
      </c>
      <c r="AX21" s="127" t="str">
        <f>SUBSTITUTE(PROPER(INDEX(n_4,MID(TEXT(B1,n0),1,1)+1)&amp;INDEX(n0x,MID(TEXT(B1,n0),2,1)+1,MID(TEXT(B1,n0),3,1)+1)&amp;IF(-MID(TEXT(B1,n0),1,3),"миллиард"&amp;VLOOKUP(MID(TEXT(B1,n0),3,1)*AND(MID(TEXT(B1,n0),2,1)-1),мил,2),"")&amp;INDEX(n_4,MID(TEXT(B1,n0),4,1)+1)&amp;INDEX(n0x,MID(TEXT(B1,n0),5,1)+1,MID(TEXT(B1,n0),6,1)+1)&amp;IF(-MID(TEXT(B1,n0),4,3),"миллион"&amp;VLOOKUP(MID(TEXT(B1,n0),6,1)*AND(MID(TEXT(B1,n0),5,1)-1),мил,2),"")&amp;INDEX(n_4,MID(TEXT(B1,n0),7,1)+1)&amp;INDEX(n1x,MID(TEXT(B1,n0),8,1)+1,MID(TEXT(B1,n0),9,1)+1)&amp;IF(-MID(TEXT(B1,n0),7,3),VLOOKUP(MID(TEXT(B1,n0),9,1)*AND(MID(TEXT(B1,n0),8,1)-1),тыс,2),"")&amp;INDEX(n_4,MID(TEXT(B1,n0),10,1)+1)&amp;INDEX(n0x,MID(TEXT(B1,n0),11,1)+1,MID(TEXT(B1,n0),12,1)+1)),"z"," ")&amp;IF(TRUNC(TEXT(B1,n0)),"","Ноль ")&amp;"рубл"&amp;VLOOKUP(MOD(MAX(MOD(MID(TEXT(B1,n0),11,2)-11,100),9),10),{0,"ь ";1,"я ";4,"ей "},2)&amp;RIGHT(TEXT(B1,n0),2)&amp;" копе"&amp;VLOOKUP(MOD(MAX(MOD(RIGHT(TEXT(B1,n0),2)-11,100),9),10),{0,"йка";1,"йки";4,"ек"},2)</f>
        <v>Ноль рублей 00 копеек</v>
      </c>
    </row>
    <row r="22" spans="1:50" ht="28.5" customHeight="1">
      <c r="A22" s="576" t="s">
        <v>660</v>
      </c>
      <c r="B22" s="576"/>
      <c r="C22" s="576"/>
      <c r="D22" s="576"/>
      <c r="E22" s="576"/>
      <c r="F22" s="576"/>
      <c r="G22" s="576"/>
      <c r="H22" s="576"/>
      <c r="I22" s="576"/>
      <c r="J22" s="576"/>
      <c r="K22" s="576"/>
      <c r="L22" s="576"/>
      <c r="M22" s="576"/>
      <c r="N22" s="576"/>
      <c r="O22" s="576"/>
      <c r="P22" s="576"/>
      <c r="Q22" s="576"/>
      <c r="R22" s="576"/>
      <c r="S22" s="576"/>
      <c r="T22" s="576"/>
      <c r="U22" s="576"/>
      <c r="V22" s="576"/>
      <c r="W22" s="576"/>
      <c r="X22" s="576"/>
      <c r="Y22" s="576"/>
      <c r="Z22" s="576"/>
      <c r="AA22" s="576"/>
      <c r="AB22" s="576"/>
      <c r="AC22" s="576"/>
      <c r="AD22" s="576"/>
      <c r="AE22" s="576"/>
      <c r="AF22" s="576"/>
      <c r="AG22" s="576"/>
      <c r="AH22" s="576"/>
      <c r="AI22" s="576"/>
      <c r="AJ22" s="576"/>
      <c r="AK22" s="576"/>
      <c r="AL22" s="576"/>
      <c r="AM22" s="576"/>
      <c r="AN22" s="576"/>
      <c r="AO22" s="576"/>
      <c r="AP22" s="576"/>
      <c r="AQ22" s="576"/>
      <c r="AR22" s="576"/>
      <c r="AS22" s="576"/>
    </row>
    <row r="23" spans="1:50" ht="43.5" customHeight="1">
      <c r="A23" s="576" t="s">
        <v>370</v>
      </c>
      <c r="B23" s="576"/>
      <c r="C23" s="576"/>
      <c r="D23" s="576"/>
      <c r="E23" s="576"/>
      <c r="F23" s="576"/>
      <c r="G23" s="576"/>
      <c r="H23" s="576"/>
      <c r="I23" s="576"/>
      <c r="J23" s="576"/>
      <c r="K23" s="576"/>
      <c r="L23" s="576"/>
      <c r="M23" s="576"/>
      <c r="N23" s="576"/>
      <c r="O23" s="576"/>
      <c r="P23" s="576"/>
      <c r="Q23" s="576"/>
      <c r="R23" s="576"/>
      <c r="S23" s="576"/>
      <c r="T23" s="576"/>
      <c r="U23" s="576"/>
      <c r="V23" s="576"/>
      <c r="W23" s="576"/>
      <c r="X23" s="576"/>
      <c r="Y23" s="576"/>
      <c r="Z23" s="576"/>
      <c r="AA23" s="576"/>
      <c r="AB23" s="576"/>
      <c r="AC23" s="576"/>
      <c r="AD23" s="576"/>
      <c r="AE23" s="576"/>
      <c r="AF23" s="576"/>
      <c r="AG23" s="576"/>
      <c r="AH23" s="576"/>
      <c r="AI23" s="576"/>
      <c r="AJ23" s="576"/>
      <c r="AK23" s="576"/>
      <c r="AL23" s="576"/>
      <c r="AM23" s="576"/>
      <c r="AN23" s="576"/>
      <c r="AO23" s="576"/>
      <c r="AP23" s="576"/>
      <c r="AQ23" s="576"/>
      <c r="AR23" s="576"/>
      <c r="AS23" s="576"/>
    </row>
    <row r="24" spans="1:50" ht="28.5" customHeight="1">
      <c r="A24" s="576" t="s">
        <v>369</v>
      </c>
      <c r="B24" s="576"/>
      <c r="C24" s="576"/>
      <c r="D24" s="576"/>
      <c r="E24" s="576"/>
      <c r="F24" s="576"/>
      <c r="G24" s="576"/>
      <c r="H24" s="576"/>
      <c r="I24" s="576"/>
      <c r="J24" s="576"/>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row>
    <row r="25" spans="1:50" ht="60" customHeight="1">
      <c r="A25" s="576" t="s">
        <v>368</v>
      </c>
      <c r="B25" s="576"/>
      <c r="C25" s="576"/>
      <c r="D25" s="576"/>
      <c r="E25" s="576"/>
      <c r="F25" s="576"/>
      <c r="G25" s="576"/>
      <c r="H25" s="576"/>
      <c r="I25" s="576"/>
      <c r="J25" s="576"/>
      <c r="K25" s="576"/>
      <c r="L25" s="576"/>
      <c r="M25" s="576"/>
      <c r="N25" s="576"/>
      <c r="O25" s="576"/>
      <c r="P25" s="576"/>
      <c r="Q25" s="576"/>
      <c r="R25" s="576"/>
      <c r="S25" s="576"/>
      <c r="T25" s="576"/>
      <c r="U25" s="576"/>
      <c r="V25" s="576"/>
      <c r="W25" s="576"/>
      <c r="X25" s="576"/>
      <c r="Y25" s="576"/>
      <c r="Z25" s="576"/>
      <c r="AA25" s="576"/>
      <c r="AB25" s="576"/>
      <c r="AC25" s="576"/>
      <c r="AD25" s="576"/>
      <c r="AE25" s="576"/>
      <c r="AF25" s="576"/>
      <c r="AG25" s="576"/>
      <c r="AH25" s="576"/>
      <c r="AI25" s="576"/>
      <c r="AJ25" s="576"/>
      <c r="AK25" s="576"/>
      <c r="AL25" s="576"/>
      <c r="AM25" s="576"/>
      <c r="AN25" s="576"/>
      <c r="AO25" s="576"/>
      <c r="AP25" s="576"/>
      <c r="AQ25" s="576"/>
      <c r="AR25" s="576"/>
      <c r="AS25" s="576"/>
    </row>
    <row r="26" spans="1:50" ht="60" customHeight="1">
      <c r="A26" s="576" t="s">
        <v>367</v>
      </c>
      <c r="B26" s="576"/>
      <c r="C26" s="576"/>
      <c r="D26" s="576"/>
      <c r="E26" s="576"/>
      <c r="F26" s="576"/>
      <c r="G26" s="576"/>
      <c r="H26" s="576"/>
      <c r="I26" s="576"/>
      <c r="J26" s="576"/>
      <c r="K26" s="576"/>
      <c r="L26" s="576"/>
      <c r="M26" s="576"/>
      <c r="N26" s="576"/>
      <c r="O26" s="576"/>
      <c r="P26" s="576"/>
      <c r="Q26" s="576"/>
      <c r="R26" s="576"/>
      <c r="S26" s="576"/>
      <c r="T26" s="576"/>
      <c r="U26" s="576"/>
      <c r="V26" s="576"/>
      <c r="W26" s="576"/>
      <c r="X26" s="576"/>
      <c r="Y26" s="576"/>
      <c r="Z26" s="576"/>
      <c r="AA26" s="576"/>
      <c r="AB26" s="576"/>
      <c r="AC26" s="576"/>
      <c r="AD26" s="576"/>
      <c r="AE26" s="576"/>
      <c r="AF26" s="576"/>
      <c r="AG26" s="576"/>
      <c r="AH26" s="576"/>
      <c r="AI26" s="576"/>
      <c r="AJ26" s="576"/>
      <c r="AK26" s="576"/>
      <c r="AL26" s="576"/>
      <c r="AM26" s="576"/>
      <c r="AN26" s="576"/>
      <c r="AO26" s="576"/>
      <c r="AP26" s="576"/>
      <c r="AQ26" s="576"/>
      <c r="AR26" s="576"/>
      <c r="AS26" s="576"/>
    </row>
    <row r="27" spans="1:50" ht="30" customHeight="1">
      <c r="A27" s="576" t="s">
        <v>366</v>
      </c>
      <c r="B27" s="576"/>
      <c r="C27" s="576"/>
      <c r="D27" s="576"/>
      <c r="E27" s="576"/>
      <c r="F27" s="576"/>
      <c r="G27" s="576"/>
      <c r="H27" s="576"/>
      <c r="I27" s="576"/>
      <c r="J27" s="576"/>
      <c r="K27" s="576"/>
      <c r="L27" s="576"/>
      <c r="M27" s="576"/>
      <c r="N27" s="576"/>
      <c r="O27" s="576"/>
      <c r="P27" s="576"/>
      <c r="Q27" s="576"/>
      <c r="R27" s="576"/>
      <c r="S27" s="576"/>
      <c r="T27" s="576"/>
      <c r="U27" s="576"/>
      <c r="V27" s="576"/>
      <c r="W27" s="576"/>
      <c r="X27" s="576"/>
      <c r="Y27" s="576"/>
      <c r="Z27" s="576"/>
      <c r="AA27" s="576"/>
      <c r="AB27" s="576"/>
      <c r="AC27" s="576"/>
      <c r="AD27" s="576"/>
      <c r="AE27" s="576"/>
      <c r="AF27" s="576"/>
      <c r="AG27" s="576"/>
      <c r="AH27" s="576"/>
      <c r="AI27" s="576"/>
      <c r="AJ27" s="576"/>
      <c r="AK27" s="576"/>
      <c r="AL27" s="576"/>
      <c r="AM27" s="576"/>
      <c r="AN27" s="576"/>
      <c r="AO27" s="576"/>
      <c r="AP27" s="576"/>
      <c r="AQ27" s="576"/>
      <c r="AR27" s="576"/>
      <c r="AS27" s="576"/>
    </row>
    <row r="28" spans="1:50" ht="30" customHeight="1">
      <c r="A28" s="576" t="s">
        <v>365</v>
      </c>
      <c r="B28" s="576"/>
      <c r="C28" s="576"/>
      <c r="D28" s="576"/>
      <c r="E28" s="576"/>
      <c r="F28" s="576"/>
      <c r="G28" s="576"/>
      <c r="H28" s="576"/>
      <c r="I28" s="576"/>
      <c r="J28" s="576"/>
      <c r="K28" s="576"/>
      <c r="L28" s="576"/>
      <c r="M28" s="576"/>
      <c r="N28" s="576"/>
      <c r="O28" s="576"/>
      <c r="P28" s="576"/>
      <c r="Q28" s="576"/>
      <c r="R28" s="576"/>
      <c r="S28" s="576"/>
      <c r="T28" s="576"/>
      <c r="U28" s="576"/>
      <c r="V28" s="576"/>
      <c r="W28" s="576"/>
      <c r="X28" s="576"/>
      <c r="Y28" s="576"/>
      <c r="Z28" s="576"/>
      <c r="AA28" s="576"/>
      <c r="AB28" s="576"/>
      <c r="AC28" s="576"/>
      <c r="AD28" s="576"/>
      <c r="AE28" s="576"/>
      <c r="AF28" s="576"/>
      <c r="AG28" s="576"/>
      <c r="AH28" s="576"/>
      <c r="AI28" s="576"/>
      <c r="AJ28" s="576"/>
      <c r="AK28" s="576"/>
      <c r="AL28" s="576"/>
      <c r="AM28" s="576"/>
      <c r="AN28" s="576"/>
      <c r="AO28" s="576"/>
      <c r="AP28" s="576"/>
      <c r="AQ28" s="576"/>
      <c r="AR28" s="576"/>
      <c r="AS28" s="576"/>
    </row>
    <row r="29" spans="1:50">
      <c r="A29" s="576" t="s">
        <v>364</v>
      </c>
      <c r="B29" s="576"/>
      <c r="C29" s="576"/>
      <c r="D29" s="576"/>
      <c r="E29" s="576"/>
      <c r="F29" s="576"/>
      <c r="G29" s="576"/>
      <c r="H29" s="576"/>
      <c r="I29" s="576"/>
      <c r="J29" s="576"/>
      <c r="K29" s="576"/>
      <c r="L29" s="576"/>
      <c r="M29" s="576"/>
      <c r="N29" s="576"/>
      <c r="O29" s="576"/>
      <c r="P29" s="576"/>
      <c r="Q29" s="576"/>
      <c r="R29" s="576"/>
      <c r="S29" s="576"/>
      <c r="T29" s="576"/>
      <c r="U29" s="576"/>
      <c r="V29" s="576"/>
      <c r="W29" s="576"/>
      <c r="X29" s="576"/>
      <c r="Y29" s="576"/>
      <c r="Z29" s="576"/>
      <c r="AA29" s="576"/>
      <c r="AB29" s="576"/>
      <c r="AC29" s="576"/>
      <c r="AD29" s="576"/>
      <c r="AE29" s="576"/>
      <c r="AF29" s="576"/>
      <c r="AG29" s="576"/>
      <c r="AH29" s="576"/>
      <c r="AI29" s="576"/>
      <c r="AJ29" s="576"/>
      <c r="AK29" s="576"/>
      <c r="AL29" s="576"/>
      <c r="AM29" s="576"/>
      <c r="AN29" s="576"/>
      <c r="AO29" s="576"/>
      <c r="AP29" s="576"/>
      <c r="AQ29" s="576"/>
      <c r="AR29" s="576"/>
      <c r="AS29" s="576"/>
    </row>
    <row r="30" spans="1:50" ht="45" customHeight="1">
      <c r="A30" s="546" t="s">
        <v>661</v>
      </c>
      <c r="B30" s="546"/>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c r="AA30" s="546"/>
      <c r="AB30" s="546"/>
      <c r="AC30" s="546"/>
      <c r="AD30" s="546"/>
      <c r="AE30" s="546"/>
      <c r="AF30" s="546"/>
      <c r="AG30" s="546"/>
      <c r="AH30" s="546"/>
      <c r="AI30" s="546"/>
      <c r="AJ30" s="546"/>
      <c r="AK30" s="546"/>
      <c r="AL30" s="546"/>
      <c r="AM30" s="546"/>
      <c r="AN30" s="546"/>
      <c r="AO30" s="546"/>
      <c r="AP30" s="546"/>
      <c r="AQ30" s="546"/>
      <c r="AR30" s="546"/>
      <c r="AS30" s="546"/>
    </row>
    <row r="31" spans="1:50" ht="30" customHeight="1">
      <c r="A31" s="546" t="s">
        <v>361</v>
      </c>
      <c r="B31" s="546"/>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c r="AA31" s="546"/>
      <c r="AB31" s="546"/>
      <c r="AC31" s="546"/>
      <c r="AD31" s="546"/>
      <c r="AE31" s="546"/>
      <c r="AF31" s="546"/>
      <c r="AG31" s="546"/>
      <c r="AH31" s="546"/>
      <c r="AI31" s="546"/>
      <c r="AJ31" s="546"/>
      <c r="AK31" s="546"/>
      <c r="AL31" s="546"/>
      <c r="AM31" s="546"/>
      <c r="AN31" s="546"/>
      <c r="AO31" s="546"/>
      <c r="AP31" s="546"/>
      <c r="AQ31" s="546"/>
      <c r="AR31" s="546"/>
      <c r="AS31" s="546"/>
    </row>
    <row r="32" spans="1:50" ht="30" customHeight="1">
      <c r="A32" s="546" t="s">
        <v>662</v>
      </c>
      <c r="B32" s="546"/>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c r="AA32" s="546"/>
      <c r="AB32" s="546"/>
      <c r="AC32" s="546"/>
      <c r="AD32" s="546"/>
      <c r="AE32" s="546"/>
      <c r="AF32" s="546"/>
      <c r="AG32" s="546"/>
      <c r="AH32" s="546"/>
      <c r="AI32" s="546"/>
      <c r="AJ32" s="546"/>
      <c r="AK32" s="546"/>
      <c r="AL32" s="546"/>
      <c r="AM32" s="546"/>
      <c r="AN32" s="546"/>
      <c r="AO32" s="546"/>
      <c r="AP32" s="546"/>
      <c r="AQ32" s="546"/>
      <c r="AR32" s="546"/>
      <c r="AS32" s="546"/>
    </row>
    <row r="33" spans="1:90">
      <c r="A33" s="546" t="s">
        <v>681</v>
      </c>
      <c r="B33" s="546"/>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c r="AA33" s="546"/>
      <c r="AB33" s="546"/>
      <c r="AC33" s="546"/>
      <c r="AD33" s="546"/>
      <c r="AE33" s="546"/>
      <c r="AF33" s="546"/>
      <c r="AG33" s="546"/>
      <c r="AH33" s="546"/>
      <c r="AI33" s="546"/>
      <c r="AJ33" s="546"/>
      <c r="AK33" s="546"/>
      <c r="AL33" s="546"/>
      <c r="AM33" s="546"/>
      <c r="AN33" s="546"/>
      <c r="AO33" s="546"/>
      <c r="AP33" s="546"/>
      <c r="AQ33" s="546"/>
      <c r="AR33" s="546"/>
      <c r="AS33" s="546"/>
    </row>
    <row r="34" spans="1:90" ht="15" customHeight="1">
      <c r="A34" s="226"/>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row>
    <row r="35" spans="1:90" ht="15" customHeight="1">
      <c r="A35" s="565" t="s">
        <v>353</v>
      </c>
      <c r="B35" s="565"/>
      <c r="C35" s="565"/>
      <c r="D35" s="565"/>
      <c r="E35" s="565"/>
      <c r="F35" s="565"/>
      <c r="G35" s="565"/>
      <c r="H35" s="565"/>
      <c r="I35" s="565"/>
      <c r="J35" s="565"/>
      <c r="K35" s="565"/>
      <c r="L35" s="565"/>
      <c r="M35" s="565"/>
      <c r="N35" s="565"/>
      <c r="O35" s="565"/>
      <c r="P35" s="565"/>
      <c r="Q35" s="565"/>
      <c r="R35" s="565"/>
      <c r="S35" s="565"/>
      <c r="T35" s="565"/>
      <c r="U35" s="565"/>
      <c r="V35" s="565"/>
      <c r="W35" s="565"/>
      <c r="X35" s="565"/>
      <c r="Y35" s="565"/>
      <c r="Z35" s="565"/>
      <c r="AA35" s="565"/>
      <c r="AB35" s="565"/>
      <c r="AC35" s="565"/>
      <c r="AD35" s="565"/>
      <c r="AE35" s="565"/>
      <c r="AF35" s="565"/>
      <c r="AG35" s="565"/>
      <c r="AH35" s="565"/>
      <c r="AI35" s="565"/>
      <c r="AJ35" s="565"/>
      <c r="AK35" s="565"/>
      <c r="AL35" s="565"/>
      <c r="AM35" s="565"/>
      <c r="AN35" s="565"/>
      <c r="AO35" s="565"/>
      <c r="AP35" s="565"/>
      <c r="AQ35" s="565"/>
      <c r="AR35" s="565"/>
      <c r="AS35" s="565"/>
    </row>
    <row r="36" spans="1:90" ht="15" customHeight="1">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row>
    <row r="37" spans="1:90" ht="29.25" customHeight="1">
      <c r="A37" s="546" t="s">
        <v>663</v>
      </c>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row>
    <row r="38" spans="1:90" ht="30" customHeight="1">
      <c r="A38" s="571" t="s">
        <v>355</v>
      </c>
      <c r="B38" s="573"/>
      <c r="C38" s="573"/>
      <c r="D38" s="573"/>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row>
    <row r="39" spans="1:90" ht="30" customHeight="1">
      <c r="A39" s="546" t="s">
        <v>664</v>
      </c>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2"/>
      <c r="AA39" s="572"/>
      <c r="AB39" s="572"/>
      <c r="AC39" s="572"/>
      <c r="AD39" s="572"/>
      <c r="AE39" s="572"/>
      <c r="AF39" s="572"/>
      <c r="AG39" s="572"/>
      <c r="AH39" s="572"/>
      <c r="AI39" s="572"/>
      <c r="AJ39" s="572"/>
      <c r="AK39" s="572"/>
      <c r="AL39" s="572"/>
      <c r="AM39" s="572"/>
      <c r="AN39" s="572"/>
      <c r="AO39" s="572"/>
      <c r="AP39" s="572"/>
      <c r="AQ39" s="572"/>
      <c r="AR39" s="572"/>
      <c r="AS39" s="572"/>
    </row>
    <row r="40" spans="1:90" ht="30" customHeight="1">
      <c r="A40" s="546" t="s">
        <v>357</v>
      </c>
      <c r="B40" s="546"/>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6"/>
      <c r="AQ40" s="546"/>
      <c r="AR40" s="546"/>
      <c r="AS40" s="546"/>
      <c r="AV40" s="195"/>
    </row>
    <row r="41" spans="1:90" ht="30" customHeight="1">
      <c r="A41" s="546" t="s">
        <v>358</v>
      </c>
      <c r="B41" s="546"/>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c r="AA41" s="546"/>
      <c r="AB41" s="546"/>
      <c r="AC41" s="546"/>
      <c r="AD41" s="546"/>
      <c r="AE41" s="546"/>
      <c r="AF41" s="546"/>
      <c r="AG41" s="546"/>
      <c r="AH41" s="546"/>
      <c r="AI41" s="546"/>
      <c r="AJ41" s="546"/>
      <c r="AK41" s="546"/>
      <c r="AL41" s="546"/>
      <c r="AM41" s="546"/>
      <c r="AN41" s="546"/>
      <c r="AO41" s="546"/>
      <c r="AP41" s="546"/>
      <c r="AQ41" s="546"/>
      <c r="AR41" s="546"/>
      <c r="AS41" s="546"/>
      <c r="AV41" s="238"/>
      <c r="AW41" s="239"/>
    </row>
    <row r="42" spans="1:90" ht="45" customHeight="1">
      <c r="A42" s="571" t="s">
        <v>359</v>
      </c>
      <c r="B42" s="571"/>
      <c r="C42" s="571"/>
      <c r="D42" s="571"/>
      <c r="E42" s="571"/>
      <c r="F42" s="571"/>
      <c r="G42" s="571"/>
      <c r="H42" s="571"/>
      <c r="I42" s="571"/>
      <c r="J42" s="571"/>
      <c r="K42" s="571"/>
      <c r="L42" s="571"/>
      <c r="M42" s="571"/>
      <c r="N42" s="571"/>
      <c r="O42" s="571"/>
      <c r="P42" s="571"/>
      <c r="Q42" s="571"/>
      <c r="R42" s="571"/>
      <c r="S42" s="571"/>
      <c r="T42" s="571"/>
      <c r="U42" s="571"/>
      <c r="V42" s="571"/>
      <c r="W42" s="571"/>
      <c r="X42" s="571"/>
      <c r="Y42" s="571"/>
      <c r="Z42" s="571"/>
      <c r="AA42" s="571"/>
      <c r="AB42" s="571"/>
      <c r="AC42" s="571"/>
      <c r="AD42" s="571"/>
      <c r="AE42" s="571"/>
      <c r="AF42" s="571"/>
      <c r="AG42" s="571"/>
      <c r="AH42" s="571"/>
      <c r="AI42" s="571"/>
      <c r="AJ42" s="571"/>
      <c r="AK42" s="571"/>
      <c r="AL42" s="571"/>
      <c r="AM42" s="571"/>
      <c r="AN42" s="571"/>
      <c r="AO42" s="571"/>
      <c r="AP42" s="571"/>
      <c r="AQ42" s="571"/>
      <c r="AR42" s="571"/>
      <c r="AS42" s="571"/>
      <c r="AV42" s="127"/>
      <c r="AW42" s="127"/>
    </row>
    <row r="43" spans="1:90" ht="45" customHeight="1">
      <c r="A43" s="571" t="s">
        <v>665</v>
      </c>
      <c r="B43" s="571"/>
      <c r="C43" s="571"/>
      <c r="D43" s="571"/>
      <c r="E43" s="571"/>
      <c r="F43" s="571"/>
      <c r="G43" s="571"/>
      <c r="H43" s="571"/>
      <c r="I43" s="571"/>
      <c r="J43" s="571"/>
      <c r="K43" s="571"/>
      <c r="L43" s="571"/>
      <c r="M43" s="571"/>
      <c r="N43" s="571"/>
      <c r="O43" s="571"/>
      <c r="P43" s="571"/>
      <c r="Q43" s="571"/>
      <c r="R43" s="571"/>
      <c r="S43" s="571"/>
      <c r="T43" s="571"/>
      <c r="U43" s="571"/>
      <c r="V43" s="571"/>
      <c r="W43" s="571"/>
      <c r="X43" s="571"/>
      <c r="Y43" s="571"/>
      <c r="Z43" s="571"/>
      <c r="AA43" s="571"/>
      <c r="AB43" s="571"/>
      <c r="AC43" s="571"/>
      <c r="AD43" s="571"/>
      <c r="AE43" s="571"/>
      <c r="AF43" s="571"/>
      <c r="AG43" s="571"/>
      <c r="AH43" s="571"/>
      <c r="AI43" s="571"/>
      <c r="AJ43" s="571"/>
      <c r="AK43" s="571"/>
      <c r="AL43" s="571"/>
      <c r="AM43" s="571"/>
      <c r="AN43" s="571"/>
      <c r="AO43" s="571"/>
      <c r="AP43" s="571"/>
      <c r="AQ43" s="571"/>
      <c r="AR43" s="571"/>
      <c r="AS43" s="571"/>
      <c r="AW43" s="215"/>
      <c r="AX43" s="215"/>
      <c r="AY43" s="215"/>
      <c r="AZ43" s="215"/>
      <c r="BA43" s="215"/>
      <c r="BB43" s="215"/>
      <c r="BC43" s="215"/>
      <c r="BD43" s="215"/>
      <c r="BE43" s="215"/>
      <c r="BF43" s="215"/>
      <c r="BG43" s="215"/>
      <c r="BH43" s="215"/>
      <c r="BI43" s="215"/>
      <c r="BJ43" s="215"/>
      <c r="BK43" s="215"/>
      <c r="BL43" s="215"/>
      <c r="BM43" s="215"/>
      <c r="BN43" s="215"/>
      <c r="BO43" s="215"/>
      <c r="BP43" s="215"/>
      <c r="BQ43" s="215"/>
      <c r="BR43" s="215"/>
      <c r="BS43" s="215"/>
      <c r="BT43" s="215"/>
      <c r="BU43" s="215"/>
      <c r="BV43" s="215"/>
      <c r="BW43" s="215"/>
      <c r="BX43" s="215"/>
      <c r="BY43" s="215"/>
      <c r="BZ43" s="215"/>
      <c r="CA43" s="215"/>
      <c r="CB43" s="215"/>
      <c r="CC43" s="215"/>
      <c r="CD43" s="215"/>
      <c r="CE43" s="215"/>
      <c r="CF43" s="215"/>
      <c r="CG43" s="215"/>
      <c r="CH43" s="215"/>
      <c r="CI43" s="215"/>
      <c r="CJ43" s="215"/>
      <c r="CK43" s="215"/>
      <c r="CL43" s="215"/>
    </row>
    <row r="44" spans="1:90" ht="31.5" customHeight="1">
      <c r="A44" s="571" t="s">
        <v>666</v>
      </c>
      <c r="B44" s="571"/>
      <c r="C44" s="571"/>
      <c r="D44" s="571"/>
      <c r="E44" s="571"/>
      <c r="F44" s="571"/>
      <c r="G44" s="571"/>
      <c r="H44" s="571"/>
      <c r="I44" s="571"/>
      <c r="J44" s="571"/>
      <c r="K44" s="571"/>
      <c r="L44" s="571"/>
      <c r="M44" s="571"/>
      <c r="N44" s="571"/>
      <c r="O44" s="571"/>
      <c r="P44" s="571"/>
      <c r="Q44" s="571"/>
      <c r="R44" s="571"/>
      <c r="S44" s="571"/>
      <c r="T44" s="571"/>
      <c r="U44" s="571"/>
      <c r="V44" s="571"/>
      <c r="W44" s="571"/>
      <c r="X44" s="571"/>
      <c r="Y44" s="571"/>
      <c r="Z44" s="571"/>
      <c r="AA44" s="571"/>
      <c r="AB44" s="571"/>
      <c r="AC44" s="571"/>
      <c r="AD44" s="571"/>
      <c r="AE44" s="571"/>
      <c r="AF44" s="571"/>
      <c r="AG44" s="571"/>
      <c r="AH44" s="571"/>
      <c r="AI44" s="571"/>
      <c r="AJ44" s="571"/>
      <c r="AK44" s="571"/>
      <c r="AL44" s="571"/>
      <c r="AM44" s="571"/>
      <c r="AN44" s="571"/>
      <c r="AO44" s="571"/>
      <c r="AP44" s="571"/>
      <c r="AQ44" s="571"/>
      <c r="AR44" s="571"/>
      <c r="AS44" s="571"/>
      <c r="AV44" s="215"/>
      <c r="AW44" s="215"/>
      <c r="AX44" s="215"/>
      <c r="AY44" s="215"/>
      <c r="AZ44" s="215"/>
      <c r="BA44" s="215"/>
      <c r="BB44" s="215"/>
      <c r="BC44" s="215"/>
      <c r="BD44" s="215"/>
      <c r="BE44" s="215"/>
      <c r="BF44" s="215"/>
      <c r="BG44" s="215"/>
      <c r="BH44" s="215"/>
      <c r="BI44" s="215"/>
      <c r="BJ44" s="215"/>
      <c r="BK44" s="215"/>
      <c r="BL44" s="215"/>
      <c r="BM44" s="215"/>
      <c r="BN44" s="215"/>
      <c r="BO44" s="215"/>
      <c r="BP44" s="215"/>
      <c r="BQ44" s="215"/>
      <c r="BR44" s="215"/>
      <c r="BS44" s="215"/>
      <c r="BT44" s="215"/>
      <c r="BU44" s="215"/>
      <c r="BV44" s="215"/>
      <c r="BW44" s="215"/>
      <c r="BX44" s="215"/>
      <c r="BY44" s="215"/>
      <c r="BZ44" s="215"/>
      <c r="CA44" s="215"/>
      <c r="CB44" s="215"/>
      <c r="CC44" s="215"/>
      <c r="CD44" s="215"/>
      <c r="CE44" s="215"/>
      <c r="CF44" s="215"/>
      <c r="CG44" s="215"/>
      <c r="CH44" s="215"/>
      <c r="CI44" s="215"/>
      <c r="CJ44" s="215"/>
      <c r="CK44" s="215"/>
      <c r="CL44" s="215"/>
    </row>
    <row r="45" spans="1:90" ht="30" customHeight="1">
      <c r="A45" s="571" t="s">
        <v>667</v>
      </c>
      <c r="B45" s="571"/>
      <c r="C45" s="571"/>
      <c r="D45" s="571"/>
      <c r="E45" s="571"/>
      <c r="F45" s="571"/>
      <c r="G45" s="571"/>
      <c r="H45" s="571"/>
      <c r="I45" s="571"/>
      <c r="J45" s="571"/>
      <c r="K45" s="571"/>
      <c r="L45" s="571"/>
      <c r="M45" s="571"/>
      <c r="N45" s="571"/>
      <c r="O45" s="571"/>
      <c r="P45" s="571"/>
      <c r="Q45" s="571"/>
      <c r="R45" s="571"/>
      <c r="S45" s="571"/>
      <c r="T45" s="571"/>
      <c r="U45" s="571"/>
      <c r="V45" s="571"/>
      <c r="W45" s="571"/>
      <c r="X45" s="571"/>
      <c r="Y45" s="571"/>
      <c r="Z45" s="571"/>
      <c r="AA45" s="571"/>
      <c r="AB45" s="571"/>
      <c r="AC45" s="571"/>
      <c r="AD45" s="571"/>
      <c r="AE45" s="571"/>
      <c r="AF45" s="571"/>
      <c r="AG45" s="571"/>
      <c r="AH45" s="571"/>
      <c r="AI45" s="571"/>
      <c r="AJ45" s="571"/>
      <c r="AK45" s="571"/>
      <c r="AL45" s="571"/>
      <c r="AM45" s="571"/>
      <c r="AN45" s="571"/>
      <c r="AO45" s="571"/>
      <c r="AP45" s="571"/>
      <c r="AQ45" s="571"/>
      <c r="AR45" s="571"/>
      <c r="AS45" s="571"/>
    </row>
    <row r="46" spans="1:90" ht="30" customHeight="1">
      <c r="A46" s="571" t="s">
        <v>668</v>
      </c>
      <c r="B46" s="571"/>
      <c r="C46" s="571"/>
      <c r="D46" s="571"/>
      <c r="E46" s="571"/>
      <c r="F46" s="571"/>
      <c r="G46" s="571"/>
      <c r="H46" s="571"/>
      <c r="I46" s="571"/>
      <c r="J46" s="571"/>
      <c r="K46" s="571"/>
      <c r="L46" s="571"/>
      <c r="M46" s="571"/>
      <c r="N46" s="571"/>
      <c r="O46" s="571"/>
      <c r="P46" s="571"/>
      <c r="Q46" s="571"/>
      <c r="R46" s="571"/>
      <c r="S46" s="571"/>
      <c r="T46" s="571"/>
      <c r="U46" s="571"/>
      <c r="V46" s="571"/>
      <c r="W46" s="571"/>
      <c r="X46" s="571"/>
      <c r="Y46" s="571"/>
      <c r="Z46" s="571"/>
      <c r="AA46" s="571"/>
      <c r="AB46" s="571"/>
      <c r="AC46" s="571"/>
      <c r="AD46" s="571"/>
      <c r="AE46" s="571"/>
      <c r="AF46" s="571"/>
      <c r="AG46" s="571"/>
      <c r="AH46" s="571"/>
      <c r="AI46" s="571"/>
      <c r="AJ46" s="571"/>
      <c r="AK46" s="571"/>
      <c r="AL46" s="571"/>
      <c r="AM46" s="571"/>
      <c r="AN46" s="571"/>
      <c r="AO46" s="571"/>
      <c r="AP46" s="571"/>
      <c r="AQ46" s="571"/>
      <c r="AR46" s="571"/>
      <c r="AS46" s="571"/>
    </row>
    <row r="47" spans="1:90" ht="30" customHeight="1">
      <c r="A47" s="571" t="s">
        <v>376</v>
      </c>
      <c r="B47" s="571"/>
      <c r="C47" s="571"/>
      <c r="D47" s="571"/>
      <c r="E47" s="571"/>
      <c r="F47" s="571"/>
      <c r="G47" s="571"/>
      <c r="H47" s="571"/>
      <c r="I47" s="571"/>
      <c r="J47" s="571"/>
      <c r="K47" s="571"/>
      <c r="L47" s="571"/>
      <c r="M47" s="571"/>
      <c r="N47" s="571"/>
      <c r="O47" s="571"/>
      <c r="P47" s="571"/>
      <c r="Q47" s="571"/>
      <c r="R47" s="571"/>
      <c r="S47" s="571"/>
      <c r="T47" s="571"/>
      <c r="U47" s="571"/>
      <c r="V47" s="571"/>
      <c r="W47" s="571"/>
      <c r="X47" s="571"/>
      <c r="Y47" s="571"/>
      <c r="Z47" s="571"/>
      <c r="AA47" s="571"/>
      <c r="AB47" s="571"/>
      <c r="AC47" s="571"/>
      <c r="AD47" s="571"/>
      <c r="AE47" s="571"/>
      <c r="AF47" s="571"/>
      <c r="AG47" s="571"/>
      <c r="AH47" s="571"/>
      <c r="AI47" s="571"/>
      <c r="AJ47" s="571"/>
      <c r="AK47" s="571"/>
      <c r="AL47" s="571"/>
      <c r="AM47" s="571"/>
      <c r="AN47" s="571"/>
      <c r="AO47" s="571"/>
      <c r="AP47" s="571"/>
      <c r="AQ47" s="571"/>
      <c r="AR47" s="571"/>
      <c r="AS47" s="571"/>
    </row>
    <row r="48" spans="1:90">
      <c r="A48" s="571" t="s">
        <v>669</v>
      </c>
      <c r="B48" s="571"/>
      <c r="C48" s="571"/>
      <c r="D48" s="571"/>
      <c r="E48" s="571"/>
      <c r="F48" s="571"/>
      <c r="G48" s="571"/>
      <c r="H48" s="571"/>
      <c r="I48" s="571"/>
      <c r="J48" s="571"/>
      <c r="K48" s="571"/>
      <c r="L48" s="571"/>
      <c r="M48" s="571"/>
      <c r="N48" s="571"/>
      <c r="O48" s="571"/>
      <c r="P48" s="571"/>
      <c r="Q48" s="571"/>
      <c r="R48" s="571"/>
      <c r="S48" s="571"/>
      <c r="T48" s="571"/>
      <c r="U48" s="571"/>
      <c r="V48" s="571"/>
      <c r="W48" s="571"/>
      <c r="X48" s="571"/>
      <c r="Y48" s="571"/>
      <c r="Z48" s="571"/>
      <c r="AA48" s="571"/>
      <c r="AB48" s="571"/>
      <c r="AC48" s="571"/>
      <c r="AD48" s="571"/>
      <c r="AE48" s="571"/>
      <c r="AF48" s="571"/>
      <c r="AG48" s="571"/>
      <c r="AH48" s="571"/>
      <c r="AI48" s="571"/>
      <c r="AJ48" s="571"/>
      <c r="AK48" s="571"/>
      <c r="AL48" s="571"/>
      <c r="AM48" s="571"/>
      <c r="AN48" s="571"/>
      <c r="AO48" s="571"/>
      <c r="AP48" s="571"/>
      <c r="AQ48" s="571"/>
      <c r="AR48" s="571"/>
      <c r="AS48" s="571"/>
    </row>
    <row r="49" spans="1:48" ht="30" customHeight="1">
      <c r="A49" s="571" t="s">
        <v>378</v>
      </c>
      <c r="B49" s="571"/>
      <c r="C49" s="571"/>
      <c r="D49" s="571"/>
      <c r="E49" s="571"/>
      <c r="F49" s="571"/>
      <c r="G49" s="571"/>
      <c r="H49" s="571"/>
      <c r="I49" s="571"/>
      <c r="J49" s="571"/>
      <c r="K49" s="571"/>
      <c r="L49" s="571"/>
      <c r="M49" s="571"/>
      <c r="N49" s="571"/>
      <c r="O49" s="571"/>
      <c r="P49" s="571"/>
      <c r="Q49" s="571"/>
      <c r="R49" s="571"/>
      <c r="S49" s="571"/>
      <c r="T49" s="571"/>
      <c r="U49" s="571"/>
      <c r="V49" s="571"/>
      <c r="W49" s="571"/>
      <c r="X49" s="571"/>
      <c r="Y49" s="571"/>
      <c r="Z49" s="571"/>
      <c r="AA49" s="571"/>
      <c r="AB49" s="571"/>
      <c r="AC49" s="571"/>
      <c r="AD49" s="571"/>
      <c r="AE49" s="571"/>
      <c r="AF49" s="571"/>
      <c r="AG49" s="571"/>
      <c r="AH49" s="571"/>
      <c r="AI49" s="571"/>
      <c r="AJ49" s="571"/>
      <c r="AK49" s="571"/>
      <c r="AL49" s="571"/>
      <c r="AM49" s="571"/>
      <c r="AN49" s="571"/>
      <c r="AO49" s="571"/>
      <c r="AP49" s="571"/>
      <c r="AQ49" s="571"/>
      <c r="AR49" s="571"/>
      <c r="AS49" s="571"/>
    </row>
    <row r="50" spans="1:48" ht="45" customHeight="1">
      <c r="A50" s="571" t="s">
        <v>379</v>
      </c>
      <c r="B50" s="571"/>
      <c r="C50" s="571"/>
      <c r="D50" s="571"/>
      <c r="E50" s="571"/>
      <c r="F50" s="571"/>
      <c r="G50" s="571"/>
      <c r="H50" s="571"/>
      <c r="I50" s="571"/>
      <c r="J50" s="571"/>
      <c r="K50" s="571"/>
      <c r="L50" s="571"/>
      <c r="M50" s="571"/>
      <c r="N50" s="571"/>
      <c r="O50" s="571"/>
      <c r="P50" s="571"/>
      <c r="Q50" s="571"/>
      <c r="R50" s="571"/>
      <c r="S50" s="571"/>
      <c r="T50" s="571"/>
      <c r="U50" s="571"/>
      <c r="V50" s="571"/>
      <c r="W50" s="571"/>
      <c r="X50" s="571"/>
      <c r="Y50" s="571"/>
      <c r="Z50" s="571"/>
      <c r="AA50" s="571"/>
      <c r="AB50" s="571"/>
      <c r="AC50" s="571"/>
      <c r="AD50" s="571"/>
      <c r="AE50" s="571"/>
      <c r="AF50" s="571"/>
      <c r="AG50" s="571"/>
      <c r="AH50" s="571"/>
      <c r="AI50" s="571"/>
      <c r="AJ50" s="571"/>
      <c r="AK50" s="571"/>
      <c r="AL50" s="571"/>
      <c r="AM50" s="571"/>
      <c r="AN50" s="571"/>
      <c r="AO50" s="571"/>
      <c r="AP50" s="571"/>
      <c r="AQ50" s="571"/>
      <c r="AR50" s="571"/>
      <c r="AS50" s="571"/>
    </row>
    <row r="51" spans="1:48" ht="75" customHeight="1">
      <c r="A51" s="571" t="s">
        <v>670</v>
      </c>
      <c r="B51" s="571"/>
      <c r="C51" s="571"/>
      <c r="D51" s="571"/>
      <c r="E51" s="571"/>
      <c r="F51" s="571"/>
      <c r="G51" s="571"/>
      <c r="H51" s="571"/>
      <c r="I51" s="571"/>
      <c r="J51" s="571"/>
      <c r="K51" s="571"/>
      <c r="L51" s="571"/>
      <c r="M51" s="571"/>
      <c r="N51" s="571"/>
      <c r="O51" s="571"/>
      <c r="P51" s="571"/>
      <c r="Q51" s="571"/>
      <c r="R51" s="571"/>
      <c r="S51" s="571"/>
      <c r="T51" s="571"/>
      <c r="U51" s="571"/>
      <c r="V51" s="571"/>
      <c r="W51" s="571"/>
      <c r="X51" s="571"/>
      <c r="Y51" s="571"/>
      <c r="Z51" s="571"/>
      <c r="AA51" s="571"/>
      <c r="AB51" s="571"/>
      <c r="AC51" s="571"/>
      <c r="AD51" s="571"/>
      <c r="AE51" s="571"/>
      <c r="AF51" s="571"/>
      <c r="AG51" s="571"/>
      <c r="AH51" s="571"/>
      <c r="AI51" s="571"/>
      <c r="AJ51" s="571"/>
      <c r="AK51" s="571"/>
      <c r="AL51" s="571"/>
      <c r="AM51" s="571"/>
      <c r="AN51" s="571"/>
      <c r="AO51" s="571"/>
      <c r="AP51" s="571"/>
      <c r="AQ51" s="571"/>
      <c r="AR51" s="571"/>
      <c r="AS51" s="571"/>
    </row>
    <row r="52" spans="1:48" ht="60" customHeight="1">
      <c r="A52" s="571" t="s">
        <v>671</v>
      </c>
      <c r="B52" s="571"/>
      <c r="C52" s="571"/>
      <c r="D52" s="571"/>
      <c r="E52" s="571"/>
      <c r="F52" s="571"/>
      <c r="G52" s="571"/>
      <c r="H52" s="571"/>
      <c r="I52" s="571"/>
      <c r="J52" s="571"/>
      <c r="K52" s="571"/>
      <c r="L52" s="571"/>
      <c r="M52" s="571"/>
      <c r="N52" s="571"/>
      <c r="O52" s="571"/>
      <c r="P52" s="571"/>
      <c r="Q52" s="571"/>
      <c r="R52" s="571"/>
      <c r="S52" s="571"/>
      <c r="T52" s="571"/>
      <c r="U52" s="571"/>
      <c r="V52" s="571"/>
      <c r="W52" s="571"/>
      <c r="X52" s="571"/>
      <c r="Y52" s="571"/>
      <c r="Z52" s="571"/>
      <c r="AA52" s="571"/>
      <c r="AB52" s="571"/>
      <c r="AC52" s="571"/>
      <c r="AD52" s="571"/>
      <c r="AE52" s="571"/>
      <c r="AF52" s="571"/>
      <c r="AG52" s="571"/>
      <c r="AH52" s="571"/>
      <c r="AI52" s="571"/>
      <c r="AJ52" s="571"/>
      <c r="AK52" s="571"/>
      <c r="AL52" s="571"/>
      <c r="AM52" s="571"/>
      <c r="AN52" s="571"/>
      <c r="AO52" s="571"/>
      <c r="AP52" s="571"/>
      <c r="AQ52" s="571"/>
      <c r="AR52" s="571"/>
      <c r="AS52" s="571"/>
    </row>
    <row r="53" spans="1:48" ht="30" customHeight="1">
      <c r="A53" s="571" t="s">
        <v>382</v>
      </c>
      <c r="B53" s="571"/>
      <c r="C53" s="571"/>
      <c r="D53" s="571"/>
      <c r="E53" s="571"/>
      <c r="F53" s="571"/>
      <c r="G53" s="571"/>
      <c r="H53" s="571"/>
      <c r="I53" s="571"/>
      <c r="J53" s="571"/>
      <c r="K53" s="571"/>
      <c r="L53" s="571"/>
      <c r="M53" s="571"/>
      <c r="N53" s="571"/>
      <c r="O53" s="571"/>
      <c r="P53" s="571"/>
      <c r="Q53" s="571"/>
      <c r="R53" s="571"/>
      <c r="S53" s="571"/>
      <c r="T53" s="571"/>
      <c r="U53" s="571"/>
      <c r="V53" s="571"/>
      <c r="W53" s="571"/>
      <c r="X53" s="571"/>
      <c r="Y53" s="571"/>
      <c r="Z53" s="571"/>
      <c r="AA53" s="571"/>
      <c r="AB53" s="571"/>
      <c r="AC53" s="571"/>
      <c r="AD53" s="571"/>
      <c r="AE53" s="571"/>
      <c r="AF53" s="571"/>
      <c r="AG53" s="571"/>
      <c r="AH53" s="571"/>
      <c r="AI53" s="571"/>
      <c r="AJ53" s="571"/>
      <c r="AK53" s="571"/>
      <c r="AL53" s="571"/>
      <c r="AM53" s="571"/>
      <c r="AN53" s="571"/>
      <c r="AO53" s="571"/>
      <c r="AP53" s="571"/>
      <c r="AQ53" s="571"/>
      <c r="AR53" s="571"/>
      <c r="AS53" s="571"/>
    </row>
    <row r="54" spans="1:48" ht="30" customHeight="1">
      <c r="A54" s="571" t="s">
        <v>383</v>
      </c>
      <c r="B54" s="571"/>
      <c r="C54" s="571"/>
      <c r="D54" s="571"/>
      <c r="E54" s="571"/>
      <c r="F54" s="571"/>
      <c r="G54" s="571"/>
      <c r="H54" s="571"/>
      <c r="I54" s="571"/>
      <c r="J54" s="571"/>
      <c r="K54" s="571"/>
      <c r="L54" s="571"/>
      <c r="M54" s="571"/>
      <c r="N54" s="571"/>
      <c r="O54" s="571"/>
      <c r="P54" s="571"/>
      <c r="Q54" s="571"/>
      <c r="R54" s="571"/>
      <c r="S54" s="571"/>
      <c r="T54" s="571"/>
      <c r="U54" s="571"/>
      <c r="V54" s="571"/>
      <c r="W54" s="571"/>
      <c r="X54" s="571"/>
      <c r="Y54" s="571"/>
      <c r="Z54" s="571"/>
      <c r="AA54" s="571"/>
      <c r="AB54" s="571"/>
      <c r="AC54" s="571"/>
      <c r="AD54" s="571"/>
      <c r="AE54" s="571"/>
      <c r="AF54" s="571"/>
      <c r="AG54" s="571"/>
      <c r="AH54" s="571"/>
      <c r="AI54" s="571"/>
      <c r="AJ54" s="571"/>
      <c r="AK54" s="571"/>
      <c r="AL54" s="571"/>
      <c r="AM54" s="571"/>
      <c r="AN54" s="571"/>
      <c r="AO54" s="571"/>
      <c r="AP54" s="571"/>
      <c r="AQ54" s="571"/>
      <c r="AR54" s="571"/>
      <c r="AS54" s="571"/>
    </row>
    <row r="55" spans="1:48" ht="60" customHeight="1">
      <c r="A55" s="571" t="s">
        <v>384</v>
      </c>
      <c r="B55" s="571"/>
      <c r="C55" s="571"/>
      <c r="D55" s="571"/>
      <c r="E55" s="571"/>
      <c r="F55" s="571"/>
      <c r="G55" s="571"/>
      <c r="H55" s="571"/>
      <c r="I55" s="571"/>
      <c r="J55" s="571"/>
      <c r="K55" s="571"/>
      <c r="L55" s="571"/>
      <c r="M55" s="571"/>
      <c r="N55" s="571"/>
      <c r="O55" s="571"/>
      <c r="P55" s="571"/>
      <c r="Q55" s="571"/>
      <c r="R55" s="571"/>
      <c r="S55" s="571"/>
      <c r="T55" s="571"/>
      <c r="U55" s="571"/>
      <c r="V55" s="571"/>
      <c r="W55" s="571"/>
      <c r="X55" s="571"/>
      <c r="Y55" s="571"/>
      <c r="Z55" s="571"/>
      <c r="AA55" s="571"/>
      <c r="AB55" s="571"/>
      <c r="AC55" s="571"/>
      <c r="AD55" s="571"/>
      <c r="AE55" s="571"/>
      <c r="AF55" s="571"/>
      <c r="AG55" s="571"/>
      <c r="AH55" s="571"/>
      <c r="AI55" s="571"/>
      <c r="AJ55" s="571"/>
      <c r="AK55" s="571"/>
      <c r="AL55" s="571"/>
      <c r="AM55" s="571"/>
      <c r="AN55" s="571"/>
      <c r="AO55" s="571"/>
      <c r="AP55" s="571"/>
      <c r="AQ55" s="571"/>
      <c r="AR55" s="571"/>
      <c r="AS55" s="571"/>
    </row>
    <row r="56" spans="1:48" ht="45" customHeight="1">
      <c r="A56" s="571" t="s">
        <v>434</v>
      </c>
      <c r="B56" s="571"/>
      <c r="C56" s="571"/>
      <c r="D56" s="571"/>
      <c r="E56" s="571"/>
      <c r="F56" s="571"/>
      <c r="G56" s="571"/>
      <c r="H56" s="571"/>
      <c r="I56" s="571"/>
      <c r="J56" s="571"/>
      <c r="K56" s="571"/>
      <c r="L56" s="571"/>
      <c r="M56" s="571"/>
      <c r="N56" s="571"/>
      <c r="O56" s="571"/>
      <c r="P56" s="571"/>
      <c r="Q56" s="571"/>
      <c r="R56" s="571"/>
      <c r="S56" s="571"/>
      <c r="T56" s="571"/>
      <c r="U56" s="571"/>
      <c r="V56" s="571"/>
      <c r="W56" s="571"/>
      <c r="X56" s="571"/>
      <c r="Y56" s="571"/>
      <c r="Z56" s="571"/>
      <c r="AA56" s="571"/>
      <c r="AB56" s="571"/>
      <c r="AC56" s="571"/>
      <c r="AD56" s="571"/>
      <c r="AE56" s="571"/>
      <c r="AF56" s="571"/>
      <c r="AG56" s="571"/>
      <c r="AH56" s="571"/>
      <c r="AI56" s="571"/>
      <c r="AJ56" s="571"/>
      <c r="AK56" s="571"/>
      <c r="AL56" s="571"/>
      <c r="AM56" s="571"/>
      <c r="AN56" s="571"/>
      <c r="AO56" s="571"/>
      <c r="AP56" s="571"/>
      <c r="AQ56" s="571"/>
      <c r="AR56" s="571"/>
      <c r="AS56" s="571"/>
      <c r="AU56" s="127"/>
    </row>
    <row r="57" spans="1:48" ht="30" customHeight="1">
      <c r="A57" s="571" t="s">
        <v>435</v>
      </c>
      <c r="B57" s="571"/>
      <c r="C57" s="571"/>
      <c r="D57" s="571"/>
      <c r="E57" s="571"/>
      <c r="F57" s="571"/>
      <c r="G57" s="571"/>
      <c r="H57" s="571"/>
      <c r="I57" s="571"/>
      <c r="J57" s="571"/>
      <c r="K57" s="571"/>
      <c r="L57" s="571"/>
      <c r="M57" s="571"/>
      <c r="N57" s="571"/>
      <c r="O57" s="571"/>
      <c r="P57" s="571"/>
      <c r="Q57" s="571"/>
      <c r="R57" s="571"/>
      <c r="S57" s="571"/>
      <c r="T57" s="571"/>
      <c r="U57" s="571"/>
      <c r="V57" s="571"/>
      <c r="W57" s="571"/>
      <c r="X57" s="571"/>
      <c r="Y57" s="571"/>
      <c r="Z57" s="571"/>
      <c r="AA57" s="571"/>
      <c r="AB57" s="571"/>
      <c r="AC57" s="571"/>
      <c r="AD57" s="571"/>
      <c r="AE57" s="571"/>
      <c r="AF57" s="571"/>
      <c r="AG57" s="571"/>
      <c r="AH57" s="571"/>
      <c r="AI57" s="571"/>
      <c r="AJ57" s="571"/>
      <c r="AK57" s="571"/>
      <c r="AL57" s="571"/>
      <c r="AM57" s="571"/>
      <c r="AN57" s="571"/>
      <c r="AO57" s="571"/>
      <c r="AP57" s="571"/>
      <c r="AQ57" s="571"/>
      <c r="AR57" s="571"/>
      <c r="AS57" s="571"/>
    </row>
    <row r="58" spans="1:48" ht="45" customHeight="1">
      <c r="A58" s="571" t="s">
        <v>385</v>
      </c>
      <c r="B58" s="571"/>
      <c r="C58" s="571"/>
      <c r="D58" s="571"/>
      <c r="E58" s="571"/>
      <c r="F58" s="571"/>
      <c r="G58" s="571"/>
      <c r="H58" s="571"/>
      <c r="I58" s="571"/>
      <c r="J58" s="571"/>
      <c r="K58" s="571"/>
      <c r="L58" s="571"/>
      <c r="M58" s="571"/>
      <c r="N58" s="571"/>
      <c r="O58" s="571"/>
      <c r="P58" s="571"/>
      <c r="Q58" s="571"/>
      <c r="R58" s="571"/>
      <c r="S58" s="571"/>
      <c r="T58" s="571"/>
      <c r="U58" s="571"/>
      <c r="V58" s="571"/>
      <c r="W58" s="571"/>
      <c r="X58" s="571"/>
      <c r="Y58" s="571"/>
      <c r="Z58" s="571"/>
      <c r="AA58" s="571"/>
      <c r="AB58" s="571"/>
      <c r="AC58" s="571"/>
      <c r="AD58" s="571"/>
      <c r="AE58" s="571"/>
      <c r="AF58" s="571"/>
      <c r="AG58" s="571"/>
      <c r="AH58" s="571"/>
      <c r="AI58" s="571"/>
      <c r="AJ58" s="571"/>
      <c r="AK58" s="571"/>
      <c r="AL58" s="571"/>
      <c r="AM58" s="571"/>
      <c r="AN58" s="571"/>
      <c r="AO58" s="571"/>
      <c r="AP58" s="571"/>
      <c r="AQ58" s="571"/>
      <c r="AR58" s="571"/>
      <c r="AS58" s="571"/>
    </row>
    <row r="59" spans="1:48" ht="15" customHeight="1">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c r="AA59" s="227"/>
      <c r="AB59" s="227"/>
      <c r="AC59" s="227"/>
      <c r="AD59" s="227"/>
      <c r="AE59" s="227"/>
      <c r="AF59" s="227"/>
      <c r="AG59" s="227"/>
      <c r="AH59" s="227"/>
      <c r="AI59" s="227"/>
      <c r="AJ59" s="227"/>
      <c r="AK59" s="227"/>
      <c r="AL59" s="227"/>
      <c r="AM59" s="227"/>
      <c r="AN59" s="227"/>
      <c r="AO59" s="227"/>
      <c r="AP59" s="227"/>
      <c r="AQ59" s="227"/>
      <c r="AR59" s="227"/>
      <c r="AS59" s="227"/>
    </row>
    <row r="60" spans="1:48">
      <c r="A60" s="574" t="s">
        <v>386</v>
      </c>
      <c r="B60" s="574"/>
      <c r="C60" s="574"/>
      <c r="D60" s="574"/>
      <c r="E60" s="574"/>
      <c r="F60" s="574"/>
      <c r="G60" s="574"/>
      <c r="H60" s="574"/>
      <c r="I60" s="574"/>
      <c r="J60" s="574"/>
      <c r="K60" s="574"/>
      <c r="L60" s="574"/>
      <c r="M60" s="574"/>
      <c r="N60" s="574"/>
      <c r="O60" s="574"/>
      <c r="P60" s="574"/>
      <c r="Q60" s="574"/>
      <c r="R60" s="574"/>
      <c r="S60" s="574"/>
      <c r="T60" s="574"/>
      <c r="U60" s="574"/>
      <c r="V60" s="574"/>
      <c r="W60" s="574"/>
      <c r="X60" s="574"/>
      <c r="Y60" s="574"/>
      <c r="Z60" s="574"/>
      <c r="AA60" s="574"/>
      <c r="AB60" s="574"/>
      <c r="AC60" s="574"/>
      <c r="AD60" s="574"/>
      <c r="AE60" s="574"/>
      <c r="AF60" s="574"/>
      <c r="AG60" s="574"/>
      <c r="AH60" s="574"/>
      <c r="AI60" s="574"/>
      <c r="AJ60" s="574"/>
      <c r="AK60" s="574"/>
      <c r="AL60" s="574"/>
      <c r="AM60" s="574"/>
      <c r="AN60" s="574"/>
      <c r="AO60" s="574"/>
      <c r="AP60" s="574"/>
      <c r="AQ60" s="574"/>
      <c r="AR60" s="574"/>
      <c r="AS60" s="574"/>
      <c r="AU60" s="127"/>
    </row>
    <row r="61" spans="1:48" ht="45" customHeight="1">
      <c r="A61" s="571" t="s">
        <v>672</v>
      </c>
      <c r="B61" s="571"/>
      <c r="C61" s="571"/>
      <c r="D61" s="571"/>
      <c r="E61" s="571"/>
      <c r="F61" s="571"/>
      <c r="G61" s="571"/>
      <c r="H61" s="571"/>
      <c r="I61" s="571"/>
      <c r="J61" s="571"/>
      <c r="K61" s="571"/>
      <c r="L61" s="571"/>
      <c r="M61" s="571"/>
      <c r="N61" s="571"/>
      <c r="O61" s="571"/>
      <c r="P61" s="571"/>
      <c r="Q61" s="571"/>
      <c r="R61" s="571"/>
      <c r="S61" s="571"/>
      <c r="T61" s="571"/>
      <c r="U61" s="571"/>
      <c r="V61" s="571"/>
      <c r="W61" s="571"/>
      <c r="X61" s="571"/>
      <c r="Y61" s="571"/>
      <c r="Z61" s="571"/>
      <c r="AA61" s="571"/>
      <c r="AB61" s="571"/>
      <c r="AC61" s="571"/>
      <c r="AD61" s="571"/>
      <c r="AE61" s="571"/>
      <c r="AF61" s="571"/>
      <c r="AG61" s="571"/>
      <c r="AH61" s="571"/>
      <c r="AI61" s="571"/>
      <c r="AJ61" s="571"/>
      <c r="AK61" s="571"/>
      <c r="AL61" s="571"/>
      <c r="AM61" s="571"/>
      <c r="AN61" s="571"/>
      <c r="AO61" s="571"/>
      <c r="AP61" s="571"/>
      <c r="AQ61" s="571"/>
      <c r="AR61" s="571"/>
      <c r="AS61" s="571"/>
    </row>
    <row r="62" spans="1:48" ht="30" customHeight="1">
      <c r="A62" s="571" t="s">
        <v>673</v>
      </c>
      <c r="B62" s="571"/>
      <c r="C62" s="571"/>
      <c r="D62" s="571"/>
      <c r="E62" s="571"/>
      <c r="F62" s="571"/>
      <c r="G62" s="571"/>
      <c r="H62" s="571"/>
      <c r="I62" s="571"/>
      <c r="J62" s="571"/>
      <c r="K62" s="571"/>
      <c r="L62" s="571"/>
      <c r="M62" s="571"/>
      <c r="N62" s="571"/>
      <c r="O62" s="571"/>
      <c r="P62" s="571"/>
      <c r="Q62" s="571"/>
      <c r="R62" s="571"/>
      <c r="S62" s="571"/>
      <c r="T62" s="571"/>
      <c r="U62" s="571"/>
      <c r="V62" s="571"/>
      <c r="W62" s="571"/>
      <c r="X62" s="571"/>
      <c r="Y62" s="571"/>
      <c r="Z62" s="571"/>
      <c r="AA62" s="571"/>
      <c r="AB62" s="571"/>
      <c r="AC62" s="571"/>
      <c r="AD62" s="571"/>
      <c r="AE62" s="571"/>
      <c r="AF62" s="571"/>
      <c r="AG62" s="571"/>
      <c r="AH62" s="571"/>
      <c r="AI62" s="571"/>
      <c r="AJ62" s="571"/>
      <c r="AK62" s="571"/>
      <c r="AL62" s="571"/>
      <c r="AM62" s="571"/>
      <c r="AN62" s="571"/>
      <c r="AO62" s="571"/>
      <c r="AP62" s="571"/>
      <c r="AQ62" s="571"/>
      <c r="AR62" s="571"/>
      <c r="AS62" s="571"/>
      <c r="AU62" s="241">
        <f>'Расчет лесов'!C4</f>
        <v>30</v>
      </c>
      <c r="AV62" s="207" t="s">
        <v>459</v>
      </c>
    </row>
    <row r="63" spans="1:48" ht="30" customHeight="1">
      <c r="A63" s="546" t="s">
        <v>388</v>
      </c>
      <c r="B63" s="546"/>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c r="AA63" s="546"/>
      <c r="AB63" s="546"/>
      <c r="AC63" s="546"/>
      <c r="AD63" s="546"/>
      <c r="AE63" s="546"/>
      <c r="AF63" s="546"/>
      <c r="AG63" s="546"/>
      <c r="AH63" s="546"/>
      <c r="AI63" s="546"/>
      <c r="AJ63" s="546"/>
      <c r="AK63" s="546"/>
      <c r="AL63" s="546"/>
      <c r="AM63" s="546"/>
      <c r="AN63" s="546"/>
      <c r="AO63" s="546"/>
      <c r="AP63" s="546"/>
      <c r="AQ63" s="546"/>
      <c r="AR63" s="546"/>
      <c r="AS63" s="546"/>
    </row>
    <row r="64" spans="1:48" ht="45" customHeight="1">
      <c r="A64" s="546" t="s">
        <v>389</v>
      </c>
      <c r="B64" s="546"/>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c r="AA64" s="546"/>
      <c r="AB64" s="546"/>
      <c r="AC64" s="546"/>
      <c r="AD64" s="546"/>
      <c r="AE64" s="546"/>
      <c r="AF64" s="546"/>
      <c r="AG64" s="546"/>
      <c r="AH64" s="546"/>
      <c r="AI64" s="546"/>
      <c r="AJ64" s="546"/>
      <c r="AK64" s="546"/>
      <c r="AL64" s="546"/>
      <c r="AM64" s="546"/>
      <c r="AN64" s="546"/>
      <c r="AO64" s="546"/>
      <c r="AP64" s="546"/>
      <c r="AQ64" s="546"/>
      <c r="AR64" s="546"/>
      <c r="AS64" s="546"/>
    </row>
    <row r="65" spans="1:45" ht="45" customHeight="1">
      <c r="A65" s="546" t="s">
        <v>390</v>
      </c>
      <c r="B65" s="546"/>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c r="AA65" s="546"/>
      <c r="AB65" s="546"/>
      <c r="AC65" s="546"/>
      <c r="AD65" s="546"/>
      <c r="AE65" s="546"/>
      <c r="AF65" s="546"/>
      <c r="AG65" s="546"/>
      <c r="AH65" s="546"/>
      <c r="AI65" s="546"/>
      <c r="AJ65" s="546"/>
      <c r="AK65" s="546"/>
      <c r="AL65" s="546"/>
      <c r="AM65" s="546"/>
      <c r="AN65" s="546"/>
      <c r="AO65" s="546"/>
      <c r="AP65" s="546"/>
      <c r="AQ65" s="546"/>
      <c r="AR65" s="546"/>
      <c r="AS65" s="546"/>
    </row>
    <row r="66" spans="1:45">
      <c r="A66" s="546" t="s">
        <v>391</v>
      </c>
      <c r="B66" s="546"/>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c r="AA66" s="546"/>
      <c r="AB66" s="546"/>
      <c r="AC66" s="546"/>
      <c r="AD66" s="546"/>
      <c r="AE66" s="546"/>
      <c r="AF66" s="546"/>
      <c r="AG66" s="546"/>
      <c r="AH66" s="546"/>
      <c r="AI66" s="546"/>
      <c r="AJ66" s="546"/>
      <c r="AK66" s="546"/>
      <c r="AL66" s="546"/>
      <c r="AM66" s="546"/>
      <c r="AN66" s="546"/>
      <c r="AO66" s="546"/>
      <c r="AP66" s="546"/>
      <c r="AQ66" s="546"/>
      <c r="AR66" s="546"/>
      <c r="AS66" s="546"/>
    </row>
    <row r="67" spans="1:45">
      <c r="A67" s="577" t="s">
        <v>392</v>
      </c>
      <c r="B67" s="577"/>
      <c r="C67" s="577"/>
      <c r="D67" s="577"/>
      <c r="E67" s="577"/>
      <c r="F67" s="577"/>
      <c r="G67" s="577"/>
      <c r="H67" s="577"/>
      <c r="I67" s="577"/>
      <c r="J67" s="577"/>
      <c r="K67" s="577"/>
      <c r="L67" s="577"/>
      <c r="M67" s="577"/>
      <c r="N67" s="577"/>
      <c r="O67" s="577"/>
      <c r="P67" s="577"/>
      <c r="Q67" s="577"/>
      <c r="R67" s="577"/>
      <c r="S67" s="577"/>
      <c r="T67" s="577"/>
      <c r="U67" s="577"/>
      <c r="V67" s="577"/>
      <c r="W67" s="577"/>
      <c r="X67" s="577"/>
      <c r="Y67" s="577"/>
      <c r="Z67" s="577"/>
      <c r="AA67" s="577"/>
      <c r="AB67" s="577"/>
      <c r="AC67" s="577"/>
      <c r="AD67" s="577"/>
      <c r="AE67" s="577"/>
      <c r="AF67" s="577"/>
      <c r="AG67" s="577"/>
      <c r="AH67" s="577"/>
      <c r="AI67" s="577"/>
      <c r="AJ67" s="577"/>
      <c r="AK67" s="577"/>
      <c r="AL67" s="577"/>
      <c r="AM67" s="577"/>
      <c r="AN67" s="577"/>
      <c r="AO67" s="577"/>
      <c r="AP67" s="577"/>
      <c r="AQ67" s="577"/>
      <c r="AR67" s="577"/>
      <c r="AS67" s="577"/>
    </row>
    <row r="68" spans="1:45">
      <c r="A68" s="546" t="s">
        <v>393</v>
      </c>
      <c r="B68" s="546"/>
      <c r="C68" s="546"/>
      <c r="D68" s="546"/>
      <c r="E68" s="546"/>
      <c r="F68" s="546"/>
      <c r="G68" s="546"/>
      <c r="H68" s="546"/>
      <c r="I68" s="546"/>
      <c r="J68" s="546"/>
      <c r="K68" s="546"/>
      <c r="L68" s="546"/>
      <c r="M68" s="546"/>
      <c r="N68" s="546"/>
      <c r="O68" s="546"/>
      <c r="P68" s="546"/>
      <c r="Q68" s="546"/>
      <c r="R68" s="546"/>
      <c r="S68" s="546"/>
      <c r="T68" s="546"/>
      <c r="U68" s="546"/>
      <c r="V68" s="546"/>
      <c r="W68" s="546"/>
      <c r="X68" s="546"/>
      <c r="Y68" s="546"/>
      <c r="Z68" s="546"/>
      <c r="AA68" s="546"/>
      <c r="AB68" s="546"/>
      <c r="AC68" s="546"/>
      <c r="AD68" s="546"/>
      <c r="AE68" s="546"/>
      <c r="AF68" s="546"/>
      <c r="AG68" s="546"/>
      <c r="AH68" s="546"/>
      <c r="AI68" s="546"/>
      <c r="AJ68" s="546"/>
      <c r="AK68" s="546"/>
      <c r="AL68" s="546"/>
      <c r="AM68" s="546"/>
      <c r="AN68" s="546"/>
      <c r="AO68" s="546"/>
      <c r="AP68" s="546"/>
      <c r="AQ68" s="546"/>
      <c r="AR68" s="546"/>
      <c r="AS68" s="546"/>
    </row>
    <row r="69" spans="1:45" ht="45" customHeight="1">
      <c r="A69" s="546" t="s">
        <v>394</v>
      </c>
      <c r="B69" s="546"/>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c r="AA69" s="546"/>
      <c r="AB69" s="546"/>
      <c r="AC69" s="546"/>
      <c r="AD69" s="546"/>
      <c r="AE69" s="546"/>
      <c r="AF69" s="546"/>
      <c r="AG69" s="546"/>
      <c r="AH69" s="546"/>
      <c r="AI69" s="546"/>
      <c r="AJ69" s="546"/>
      <c r="AK69" s="546"/>
      <c r="AL69" s="546"/>
      <c r="AM69" s="546"/>
      <c r="AN69" s="546"/>
      <c r="AO69" s="546"/>
      <c r="AP69" s="546"/>
      <c r="AQ69" s="546"/>
      <c r="AR69" s="546"/>
      <c r="AS69" s="546"/>
    </row>
    <row r="70" spans="1:45">
      <c r="A70" s="543" t="s">
        <v>674</v>
      </c>
      <c r="B70" s="543"/>
      <c r="C70" s="543"/>
      <c r="D70" s="543"/>
      <c r="E70" s="543"/>
      <c r="F70" s="543"/>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43"/>
      <c r="AQ70" s="543"/>
      <c r="AR70" s="543"/>
      <c r="AS70" s="543"/>
    </row>
    <row r="71" spans="1:45" ht="30" customHeight="1">
      <c r="A71" s="546" t="s">
        <v>395</v>
      </c>
      <c r="B71" s="546"/>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c r="AA71" s="546"/>
      <c r="AB71" s="546"/>
      <c r="AC71" s="546"/>
      <c r="AD71" s="546"/>
      <c r="AE71" s="546"/>
      <c r="AF71" s="546"/>
      <c r="AG71" s="546"/>
      <c r="AH71" s="546"/>
      <c r="AI71" s="546"/>
      <c r="AJ71" s="546"/>
      <c r="AK71" s="546"/>
      <c r="AL71" s="546"/>
      <c r="AM71" s="546"/>
      <c r="AN71" s="546"/>
      <c r="AO71" s="546"/>
      <c r="AP71" s="546"/>
      <c r="AQ71" s="546"/>
      <c r="AR71" s="546"/>
      <c r="AS71" s="546"/>
    </row>
    <row r="72" spans="1:45" ht="60" customHeight="1">
      <c r="A72" s="546" t="s">
        <v>675</v>
      </c>
      <c r="B72" s="546"/>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c r="AA72" s="546"/>
      <c r="AB72" s="546"/>
      <c r="AC72" s="546"/>
      <c r="AD72" s="546"/>
      <c r="AE72" s="546"/>
      <c r="AF72" s="546"/>
      <c r="AG72" s="546"/>
      <c r="AH72" s="546"/>
      <c r="AI72" s="546"/>
      <c r="AJ72" s="546"/>
      <c r="AK72" s="546"/>
      <c r="AL72" s="546"/>
      <c r="AM72" s="546"/>
      <c r="AN72" s="546"/>
      <c r="AO72" s="546"/>
      <c r="AP72" s="546"/>
      <c r="AQ72" s="546"/>
      <c r="AR72" s="546"/>
      <c r="AS72" s="546"/>
    </row>
    <row r="73" spans="1:45" ht="59.25" customHeight="1">
      <c r="A73" s="546" t="s">
        <v>676</v>
      </c>
      <c r="B73" s="546"/>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c r="AA73" s="546"/>
      <c r="AB73" s="546"/>
      <c r="AC73" s="546"/>
      <c r="AD73" s="546"/>
      <c r="AE73" s="546"/>
      <c r="AF73" s="546"/>
      <c r="AG73" s="546"/>
      <c r="AH73" s="546"/>
      <c r="AI73" s="546"/>
      <c r="AJ73" s="546"/>
      <c r="AK73" s="546"/>
      <c r="AL73" s="546"/>
      <c r="AM73" s="546"/>
      <c r="AN73" s="546"/>
      <c r="AO73" s="546"/>
      <c r="AP73" s="546"/>
      <c r="AQ73" s="546"/>
      <c r="AR73" s="546"/>
      <c r="AS73" s="546"/>
    </row>
    <row r="74" spans="1:45">
      <c r="A74" s="449"/>
      <c r="B74" s="449"/>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c r="AC74" s="449"/>
      <c r="AD74" s="449"/>
      <c r="AE74" s="449"/>
      <c r="AF74" s="449"/>
      <c r="AG74" s="449"/>
      <c r="AH74" s="449"/>
      <c r="AI74" s="449"/>
      <c r="AJ74" s="449"/>
      <c r="AK74" s="449"/>
      <c r="AL74" s="449"/>
      <c r="AM74" s="449"/>
      <c r="AN74" s="449"/>
      <c r="AO74" s="449"/>
      <c r="AP74" s="449"/>
      <c r="AQ74" s="449"/>
      <c r="AR74" s="449"/>
      <c r="AS74" s="449"/>
    </row>
    <row r="75" spans="1:45">
      <c r="A75" s="570" t="s">
        <v>397</v>
      </c>
      <c r="B75" s="570"/>
      <c r="C75" s="570"/>
      <c r="D75" s="570"/>
      <c r="E75" s="570"/>
      <c r="F75" s="570"/>
      <c r="G75" s="570"/>
      <c r="H75" s="570"/>
      <c r="I75" s="570"/>
      <c r="J75" s="570"/>
      <c r="K75" s="570"/>
      <c r="L75" s="570"/>
      <c r="M75" s="570"/>
      <c r="N75" s="570"/>
      <c r="O75" s="570"/>
      <c r="P75" s="570"/>
      <c r="Q75" s="570"/>
      <c r="R75" s="570"/>
      <c r="S75" s="570"/>
      <c r="T75" s="570"/>
      <c r="U75" s="570"/>
      <c r="V75" s="570"/>
      <c r="W75" s="570"/>
      <c r="X75" s="570"/>
      <c r="Y75" s="570"/>
      <c r="Z75" s="570"/>
      <c r="AA75" s="570"/>
      <c r="AB75" s="570"/>
      <c r="AC75" s="570"/>
      <c r="AD75" s="570"/>
      <c r="AE75" s="570"/>
      <c r="AF75" s="570"/>
      <c r="AG75" s="570"/>
      <c r="AH75" s="570"/>
      <c r="AI75" s="570"/>
      <c r="AJ75" s="570"/>
      <c r="AK75" s="570"/>
      <c r="AL75" s="570"/>
      <c r="AM75" s="570"/>
      <c r="AN75" s="570"/>
      <c r="AO75" s="570"/>
      <c r="AP75" s="570"/>
      <c r="AQ75" s="570"/>
      <c r="AR75" s="570"/>
      <c r="AS75" s="570"/>
    </row>
    <row r="76" spans="1:45" ht="76.5" customHeight="1">
      <c r="A76" s="546" t="s">
        <v>677</v>
      </c>
      <c r="B76" s="546"/>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c r="AA76" s="546"/>
      <c r="AB76" s="546"/>
      <c r="AC76" s="546"/>
      <c r="AD76" s="546"/>
      <c r="AE76" s="546"/>
      <c r="AF76" s="546"/>
      <c r="AG76" s="546"/>
      <c r="AH76" s="546"/>
      <c r="AI76" s="546"/>
      <c r="AJ76" s="546"/>
      <c r="AK76" s="546"/>
      <c r="AL76" s="546"/>
      <c r="AM76" s="546"/>
      <c r="AN76" s="546"/>
      <c r="AO76" s="546"/>
      <c r="AP76" s="546"/>
      <c r="AQ76" s="546"/>
      <c r="AR76" s="546"/>
      <c r="AS76" s="546"/>
    </row>
    <row r="77" spans="1:45" ht="43.5" customHeight="1">
      <c r="A77" s="546" t="s">
        <v>678</v>
      </c>
      <c r="B77" s="546"/>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c r="AA77" s="546"/>
      <c r="AB77" s="546"/>
      <c r="AC77" s="546"/>
      <c r="AD77" s="546"/>
      <c r="AE77" s="546"/>
      <c r="AF77" s="546"/>
      <c r="AG77" s="546"/>
      <c r="AH77" s="546"/>
      <c r="AI77" s="546"/>
      <c r="AJ77" s="546"/>
      <c r="AK77" s="546"/>
      <c r="AL77" s="546"/>
      <c r="AM77" s="546"/>
      <c r="AN77" s="546"/>
      <c r="AO77" s="546"/>
      <c r="AP77" s="546"/>
      <c r="AQ77" s="546"/>
      <c r="AR77" s="546"/>
      <c r="AS77" s="546"/>
    </row>
    <row r="78" spans="1:45" ht="87" customHeight="1">
      <c r="A78" s="546" t="s">
        <v>679</v>
      </c>
      <c r="B78" s="546"/>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c r="AA78" s="546"/>
      <c r="AB78" s="546"/>
      <c r="AC78" s="546"/>
      <c r="AD78" s="546"/>
      <c r="AE78" s="546"/>
      <c r="AF78" s="546"/>
      <c r="AG78" s="546"/>
      <c r="AH78" s="546"/>
      <c r="AI78" s="546"/>
      <c r="AJ78" s="546"/>
      <c r="AK78" s="546"/>
      <c r="AL78" s="546"/>
      <c r="AM78" s="546"/>
      <c r="AN78" s="546"/>
      <c r="AO78" s="546"/>
      <c r="AP78" s="546"/>
      <c r="AQ78" s="546"/>
      <c r="AR78" s="546"/>
      <c r="AS78" s="546"/>
    </row>
    <row r="79" spans="1:45">
      <c r="A79" s="543"/>
      <c r="B79" s="543"/>
      <c r="C79" s="543"/>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43"/>
      <c r="AQ79" s="543"/>
      <c r="AR79" s="543"/>
      <c r="AS79" s="543"/>
    </row>
    <row r="80" spans="1:45">
      <c r="A80" s="570" t="s">
        <v>570</v>
      </c>
      <c r="B80" s="570"/>
      <c r="C80" s="570"/>
      <c r="D80" s="570"/>
      <c r="E80" s="570"/>
      <c r="F80" s="570"/>
      <c r="G80" s="570"/>
      <c r="H80" s="570"/>
      <c r="I80" s="570"/>
      <c r="J80" s="570"/>
      <c r="K80" s="570"/>
      <c r="L80" s="570"/>
      <c r="M80" s="570"/>
      <c r="N80" s="570"/>
      <c r="O80" s="570"/>
      <c r="P80" s="570"/>
      <c r="Q80" s="570"/>
      <c r="R80" s="570"/>
      <c r="S80" s="570"/>
      <c r="T80" s="570"/>
      <c r="U80" s="570"/>
      <c r="V80" s="570"/>
      <c r="W80" s="570"/>
      <c r="X80" s="570"/>
      <c r="Y80" s="570"/>
      <c r="Z80" s="570"/>
      <c r="AA80" s="570"/>
      <c r="AB80" s="570"/>
      <c r="AC80" s="570"/>
      <c r="AD80" s="570"/>
      <c r="AE80" s="570"/>
      <c r="AF80" s="570"/>
      <c r="AG80" s="570"/>
      <c r="AH80" s="570"/>
      <c r="AI80" s="570"/>
      <c r="AJ80" s="570"/>
      <c r="AK80" s="570"/>
      <c r="AL80" s="570"/>
      <c r="AM80" s="570"/>
      <c r="AN80" s="570"/>
      <c r="AO80" s="570"/>
      <c r="AP80" s="570"/>
      <c r="AQ80" s="570"/>
      <c r="AR80" s="570"/>
      <c r="AS80" s="570"/>
    </row>
    <row r="81" spans="1:45" ht="30" customHeight="1">
      <c r="A81" s="546" t="s">
        <v>571</v>
      </c>
      <c r="B81" s="546"/>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c r="AA81" s="546"/>
      <c r="AB81" s="546"/>
      <c r="AC81" s="546"/>
      <c r="AD81" s="546"/>
      <c r="AE81" s="546"/>
      <c r="AF81" s="546"/>
      <c r="AG81" s="546"/>
      <c r="AH81" s="546"/>
      <c r="AI81" s="546"/>
      <c r="AJ81" s="546"/>
      <c r="AK81" s="546"/>
      <c r="AL81" s="546"/>
      <c r="AM81" s="546"/>
      <c r="AN81" s="546"/>
      <c r="AO81" s="546"/>
      <c r="AP81" s="546"/>
      <c r="AQ81" s="546"/>
      <c r="AR81" s="546"/>
      <c r="AS81" s="546"/>
    </row>
    <row r="82" spans="1:45" ht="45" customHeight="1">
      <c r="A82" s="546" t="s">
        <v>572</v>
      </c>
      <c r="B82" s="546"/>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c r="AA82" s="546"/>
      <c r="AB82" s="546"/>
      <c r="AC82" s="546"/>
      <c r="AD82" s="546"/>
      <c r="AE82" s="546"/>
      <c r="AF82" s="546"/>
      <c r="AG82" s="546"/>
      <c r="AH82" s="546"/>
      <c r="AI82" s="546"/>
      <c r="AJ82" s="546"/>
      <c r="AK82" s="546"/>
      <c r="AL82" s="546"/>
      <c r="AM82" s="546"/>
      <c r="AN82" s="546"/>
      <c r="AO82" s="546"/>
      <c r="AP82" s="546"/>
      <c r="AQ82" s="546"/>
      <c r="AR82" s="546"/>
      <c r="AS82" s="546"/>
    </row>
    <row r="83" spans="1:45" ht="60" customHeight="1">
      <c r="A83" s="546" t="s">
        <v>573</v>
      </c>
      <c r="B83" s="546"/>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c r="AA83" s="546"/>
      <c r="AB83" s="546"/>
      <c r="AC83" s="546"/>
      <c r="AD83" s="546"/>
      <c r="AE83" s="546"/>
      <c r="AF83" s="546"/>
      <c r="AG83" s="546"/>
      <c r="AH83" s="546"/>
      <c r="AI83" s="546"/>
      <c r="AJ83" s="546"/>
      <c r="AK83" s="546"/>
      <c r="AL83" s="546"/>
      <c r="AM83" s="546"/>
      <c r="AN83" s="546"/>
      <c r="AO83" s="546"/>
      <c r="AP83" s="546"/>
      <c r="AQ83" s="546"/>
      <c r="AR83" s="546"/>
      <c r="AS83" s="546"/>
    </row>
    <row r="84" spans="1:45" ht="30" customHeight="1">
      <c r="A84" s="546" t="s">
        <v>680</v>
      </c>
      <c r="B84" s="546"/>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c r="AA84" s="546"/>
      <c r="AB84" s="546"/>
      <c r="AC84" s="546"/>
      <c r="AD84" s="546"/>
      <c r="AE84" s="546"/>
      <c r="AF84" s="546"/>
      <c r="AG84" s="546"/>
      <c r="AH84" s="546"/>
      <c r="AI84" s="546"/>
      <c r="AJ84" s="546"/>
      <c r="AK84" s="546"/>
      <c r="AL84" s="546"/>
      <c r="AM84" s="546"/>
      <c r="AN84" s="546"/>
      <c r="AO84" s="546"/>
      <c r="AP84" s="546"/>
      <c r="AQ84" s="546"/>
      <c r="AR84" s="546"/>
      <c r="AS84" s="546"/>
    </row>
    <row r="85" spans="1:45">
      <c r="A85" s="337"/>
      <c r="B85" s="337"/>
      <c r="C85" s="337"/>
      <c r="D85" s="337"/>
      <c r="E85" s="337"/>
      <c r="F85" s="337"/>
      <c r="G85" s="337"/>
      <c r="H85" s="337"/>
      <c r="I85" s="337"/>
      <c r="J85" s="337"/>
      <c r="K85" s="337"/>
      <c r="L85" s="337"/>
      <c r="M85" s="337"/>
      <c r="N85" s="337"/>
      <c r="O85" s="337"/>
      <c r="P85" s="337"/>
      <c r="Q85" s="337"/>
      <c r="R85" s="337"/>
      <c r="S85" s="337"/>
      <c r="T85" s="337"/>
      <c r="U85" s="337"/>
      <c r="V85" s="337"/>
      <c r="W85" s="337"/>
      <c r="X85" s="337"/>
      <c r="Y85" s="337"/>
      <c r="Z85" s="337"/>
      <c r="AA85" s="337"/>
      <c r="AB85" s="337"/>
      <c r="AC85" s="337"/>
      <c r="AD85" s="337"/>
      <c r="AE85" s="337"/>
      <c r="AF85" s="337"/>
      <c r="AG85" s="337"/>
      <c r="AH85" s="337"/>
      <c r="AI85" s="337"/>
      <c r="AJ85" s="337"/>
      <c r="AK85" s="337"/>
      <c r="AL85" s="337"/>
      <c r="AM85" s="337"/>
      <c r="AN85" s="337"/>
      <c r="AO85" s="337"/>
      <c r="AP85" s="337"/>
      <c r="AQ85" s="337"/>
      <c r="AR85" s="337"/>
      <c r="AS85" s="337"/>
    </row>
    <row r="86" spans="1:45">
      <c r="A86" s="570" t="s">
        <v>575</v>
      </c>
      <c r="B86" s="570"/>
      <c r="C86" s="570"/>
      <c r="D86" s="570"/>
      <c r="E86" s="570"/>
      <c r="F86" s="570"/>
      <c r="G86" s="570"/>
      <c r="H86" s="570"/>
      <c r="I86" s="570"/>
      <c r="J86" s="570"/>
      <c r="K86" s="570"/>
      <c r="L86" s="570"/>
      <c r="M86" s="570"/>
      <c r="N86" s="570"/>
      <c r="O86" s="570"/>
      <c r="P86" s="570"/>
      <c r="Q86" s="570"/>
      <c r="R86" s="570"/>
      <c r="S86" s="570"/>
      <c r="T86" s="570"/>
      <c r="U86" s="570"/>
      <c r="V86" s="570"/>
      <c r="W86" s="570"/>
      <c r="X86" s="570"/>
      <c r="Y86" s="570"/>
      <c r="Z86" s="570"/>
      <c r="AA86" s="570"/>
      <c r="AB86" s="570"/>
      <c r="AC86" s="570"/>
      <c r="AD86" s="570"/>
      <c r="AE86" s="570"/>
      <c r="AF86" s="570"/>
      <c r="AG86" s="570"/>
      <c r="AH86" s="570"/>
      <c r="AI86" s="570"/>
      <c r="AJ86" s="570"/>
      <c r="AK86" s="570"/>
      <c r="AL86" s="570"/>
      <c r="AM86" s="570"/>
      <c r="AN86" s="570"/>
      <c r="AO86" s="570"/>
      <c r="AP86" s="570"/>
      <c r="AQ86" s="570"/>
      <c r="AR86" s="570"/>
      <c r="AS86" s="570"/>
    </row>
    <row r="87" spans="1:45" ht="45" customHeight="1">
      <c r="A87" s="546" t="s">
        <v>576</v>
      </c>
      <c r="B87" s="546"/>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c r="AA87" s="546"/>
      <c r="AB87" s="546"/>
      <c r="AC87" s="546"/>
      <c r="AD87" s="546"/>
      <c r="AE87" s="546"/>
      <c r="AF87" s="546"/>
      <c r="AG87" s="546"/>
      <c r="AH87" s="546"/>
      <c r="AI87" s="546"/>
      <c r="AJ87" s="546"/>
      <c r="AK87" s="546"/>
      <c r="AL87" s="546"/>
      <c r="AM87" s="546"/>
      <c r="AN87" s="546"/>
      <c r="AO87" s="546"/>
      <c r="AP87" s="546"/>
      <c r="AQ87" s="546"/>
      <c r="AR87" s="546"/>
      <c r="AS87" s="546"/>
    </row>
    <row r="88" spans="1:45" ht="90" customHeight="1">
      <c r="A88" s="546" t="s">
        <v>577</v>
      </c>
      <c r="B88" s="546"/>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c r="AA88" s="546"/>
      <c r="AB88" s="546"/>
      <c r="AC88" s="546"/>
      <c r="AD88" s="546"/>
      <c r="AE88" s="546"/>
      <c r="AF88" s="546"/>
      <c r="AG88" s="546"/>
      <c r="AH88" s="546"/>
      <c r="AI88" s="546"/>
      <c r="AJ88" s="546"/>
      <c r="AK88" s="546"/>
      <c r="AL88" s="546"/>
      <c r="AM88" s="546"/>
      <c r="AN88" s="546"/>
      <c r="AO88" s="546"/>
      <c r="AP88" s="546"/>
      <c r="AQ88" s="546"/>
      <c r="AR88" s="546"/>
      <c r="AS88" s="546"/>
    </row>
    <row r="89" spans="1:45" ht="30" customHeight="1">
      <c r="A89" s="546" t="s">
        <v>578</v>
      </c>
      <c r="B89" s="546"/>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c r="AA89" s="546"/>
      <c r="AB89" s="546"/>
      <c r="AC89" s="546"/>
      <c r="AD89" s="546"/>
      <c r="AE89" s="546"/>
      <c r="AF89" s="546"/>
      <c r="AG89" s="546"/>
      <c r="AH89" s="546"/>
      <c r="AI89" s="546"/>
      <c r="AJ89" s="546"/>
      <c r="AK89" s="546"/>
      <c r="AL89" s="546"/>
      <c r="AM89" s="546"/>
      <c r="AN89" s="546"/>
      <c r="AO89" s="546"/>
      <c r="AP89" s="546"/>
      <c r="AQ89" s="546"/>
      <c r="AR89" s="546"/>
      <c r="AS89" s="546"/>
    </row>
    <row r="90" spans="1:45">
      <c r="A90" s="546" t="s">
        <v>579</v>
      </c>
      <c r="B90" s="546"/>
      <c r="C90" s="546"/>
      <c r="D90" s="546"/>
      <c r="E90" s="546"/>
      <c r="F90" s="546"/>
      <c r="G90" s="546"/>
      <c r="H90" s="546"/>
      <c r="I90" s="546"/>
      <c r="J90" s="546"/>
      <c r="K90" s="546"/>
      <c r="L90" s="546"/>
      <c r="M90" s="546"/>
      <c r="N90" s="546"/>
      <c r="O90" s="546"/>
      <c r="P90" s="546"/>
      <c r="Q90" s="546"/>
      <c r="R90" s="546"/>
      <c r="S90" s="546"/>
      <c r="T90" s="546"/>
      <c r="U90" s="546"/>
      <c r="V90" s="546"/>
      <c r="W90" s="546"/>
      <c r="X90" s="546"/>
      <c r="Y90" s="546"/>
      <c r="Z90" s="546"/>
      <c r="AA90" s="546"/>
      <c r="AB90" s="546"/>
      <c r="AC90" s="546"/>
      <c r="AD90" s="546"/>
      <c r="AE90" s="546"/>
      <c r="AF90" s="546"/>
      <c r="AG90" s="546"/>
      <c r="AH90" s="546"/>
      <c r="AI90" s="546"/>
      <c r="AJ90" s="546"/>
      <c r="AK90" s="546"/>
      <c r="AL90" s="546"/>
      <c r="AM90" s="546"/>
      <c r="AN90" s="546"/>
      <c r="AO90" s="546"/>
      <c r="AP90" s="546"/>
      <c r="AQ90" s="546"/>
      <c r="AR90" s="546"/>
      <c r="AS90" s="546"/>
    </row>
    <row r="91" spans="1:45" ht="15" customHeight="1">
      <c r="A91" s="226"/>
      <c r="B91" s="226"/>
      <c r="C91" s="226"/>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row>
    <row r="92" spans="1:45" ht="15" customHeight="1">
      <c r="A92" s="545" t="s">
        <v>425</v>
      </c>
      <c r="B92" s="545"/>
      <c r="C92" s="545"/>
      <c r="D92" s="545"/>
      <c r="E92" s="545"/>
      <c r="F92" s="545"/>
      <c r="G92" s="545"/>
      <c r="H92" s="545"/>
      <c r="I92" s="545"/>
      <c r="J92" s="545"/>
      <c r="K92" s="545"/>
      <c r="L92" s="545"/>
      <c r="M92" s="545"/>
      <c r="N92" s="545"/>
      <c r="O92" s="545"/>
      <c r="P92" s="545"/>
      <c r="Q92" s="545"/>
      <c r="R92" s="545"/>
      <c r="S92" s="545"/>
      <c r="T92" s="545"/>
      <c r="U92" s="545"/>
      <c r="V92" s="545"/>
      <c r="W92" s="545"/>
      <c r="X92" s="545"/>
      <c r="Y92" s="545"/>
      <c r="Z92" s="545"/>
      <c r="AA92" s="545"/>
      <c r="AB92" s="545"/>
      <c r="AC92" s="545"/>
      <c r="AD92" s="545"/>
      <c r="AE92" s="545"/>
      <c r="AF92" s="545"/>
      <c r="AG92" s="545"/>
      <c r="AH92" s="545"/>
      <c r="AI92" s="545"/>
      <c r="AJ92" s="545"/>
      <c r="AK92" s="545"/>
      <c r="AL92" s="545"/>
      <c r="AM92" s="545"/>
      <c r="AN92" s="545"/>
      <c r="AO92" s="545"/>
      <c r="AP92" s="545"/>
      <c r="AQ92" s="545"/>
      <c r="AR92" s="545"/>
      <c r="AS92" s="545"/>
    </row>
    <row r="93" spans="1:45" ht="30" customHeight="1">
      <c r="A93" s="568" t="s">
        <v>415</v>
      </c>
      <c r="B93" s="568"/>
      <c r="C93" s="568"/>
      <c r="D93" s="568"/>
      <c r="E93" s="568"/>
      <c r="F93" s="568"/>
      <c r="G93" s="568"/>
      <c r="H93" s="568"/>
      <c r="I93" s="568"/>
      <c r="J93" s="568"/>
      <c r="K93" s="568"/>
      <c r="L93" s="568"/>
      <c r="M93" s="568"/>
      <c r="N93" s="568"/>
      <c r="O93" s="568"/>
      <c r="P93" s="568"/>
      <c r="Q93" s="568"/>
      <c r="R93" s="568"/>
      <c r="S93" s="568"/>
      <c r="T93" s="568"/>
      <c r="U93" s="568"/>
      <c r="V93" s="568"/>
      <c r="W93" s="568"/>
      <c r="X93" s="568"/>
      <c r="Y93" s="568"/>
      <c r="Z93" s="568"/>
      <c r="AA93" s="568"/>
      <c r="AB93" s="568"/>
      <c r="AC93" s="568"/>
      <c r="AD93" s="568"/>
      <c r="AE93" s="568"/>
      <c r="AF93" s="568"/>
      <c r="AG93" s="568"/>
      <c r="AH93" s="568"/>
      <c r="AI93" s="568"/>
      <c r="AJ93" s="568"/>
      <c r="AK93" s="568"/>
      <c r="AL93" s="568"/>
      <c r="AM93" s="568"/>
      <c r="AN93" s="568"/>
      <c r="AO93" s="568"/>
      <c r="AP93" s="568"/>
      <c r="AQ93" s="568"/>
      <c r="AR93" s="568"/>
      <c r="AS93" s="568"/>
    </row>
    <row r="94" spans="1:45" ht="15" customHeight="1">
      <c r="A94" s="568" t="s">
        <v>416</v>
      </c>
      <c r="B94" s="568"/>
      <c r="C94" s="568"/>
      <c r="D94" s="568"/>
      <c r="E94" s="568"/>
      <c r="F94" s="568"/>
      <c r="G94" s="568"/>
      <c r="H94" s="568"/>
      <c r="I94" s="568"/>
      <c r="J94" s="568"/>
      <c r="K94" s="568"/>
      <c r="L94" s="568"/>
      <c r="M94" s="568"/>
      <c r="N94" s="568"/>
      <c r="O94" s="568"/>
      <c r="P94" s="568"/>
      <c r="Q94" s="568"/>
      <c r="R94" s="568"/>
      <c r="S94" s="568"/>
      <c r="T94" s="568"/>
      <c r="U94" s="568"/>
      <c r="V94" s="568"/>
      <c r="W94" s="568"/>
      <c r="X94" s="568"/>
      <c r="Y94" s="568"/>
      <c r="Z94" s="568"/>
      <c r="AA94" s="568"/>
      <c r="AB94" s="568"/>
      <c r="AC94" s="568"/>
      <c r="AD94" s="568"/>
      <c r="AE94" s="568"/>
      <c r="AF94" s="568"/>
      <c r="AG94" s="568"/>
      <c r="AH94" s="568"/>
      <c r="AI94" s="568"/>
      <c r="AJ94" s="568"/>
      <c r="AK94" s="568"/>
      <c r="AL94" s="568"/>
      <c r="AM94" s="568"/>
      <c r="AN94" s="568"/>
      <c r="AO94" s="568"/>
      <c r="AP94" s="568"/>
      <c r="AQ94" s="568"/>
      <c r="AR94" s="568"/>
      <c r="AS94" s="568"/>
    </row>
    <row r="95" spans="1:45">
      <c r="A95" s="568" t="s">
        <v>417</v>
      </c>
      <c r="B95" s="568"/>
      <c r="C95" s="568"/>
      <c r="D95" s="568"/>
      <c r="E95" s="568"/>
      <c r="F95" s="568"/>
      <c r="G95" s="568"/>
      <c r="H95" s="568"/>
      <c r="I95" s="568"/>
      <c r="J95" s="568"/>
      <c r="K95" s="568"/>
      <c r="L95" s="568"/>
      <c r="M95" s="568"/>
      <c r="N95" s="568"/>
      <c r="O95" s="568"/>
      <c r="P95" s="568"/>
      <c r="Q95" s="568"/>
      <c r="R95" s="568"/>
      <c r="S95" s="568"/>
      <c r="T95" s="568"/>
      <c r="U95" s="568"/>
      <c r="V95" s="568"/>
      <c r="W95" s="568"/>
      <c r="X95" s="568"/>
      <c r="Y95" s="568"/>
      <c r="Z95" s="568"/>
      <c r="AA95" s="568"/>
      <c r="AB95" s="568"/>
      <c r="AC95" s="568"/>
      <c r="AD95" s="568"/>
      <c r="AE95" s="568"/>
      <c r="AF95" s="568"/>
      <c r="AG95" s="568"/>
      <c r="AH95" s="568"/>
      <c r="AI95" s="568"/>
      <c r="AJ95" s="568"/>
      <c r="AK95" s="568"/>
      <c r="AL95" s="568"/>
      <c r="AM95" s="568"/>
      <c r="AN95" s="568"/>
      <c r="AO95" s="568"/>
      <c r="AP95" s="568"/>
      <c r="AQ95" s="568"/>
      <c r="AR95" s="568"/>
      <c r="AS95" s="568"/>
    </row>
    <row r="96" spans="1:45">
      <c r="A96" s="568" t="s">
        <v>418</v>
      </c>
      <c r="B96" s="568"/>
      <c r="C96" s="568"/>
      <c r="D96" s="568"/>
      <c r="E96" s="568"/>
      <c r="F96" s="568"/>
      <c r="G96" s="568"/>
      <c r="H96" s="568"/>
      <c r="I96" s="568"/>
      <c r="J96" s="568"/>
      <c r="K96" s="568"/>
      <c r="L96" s="568"/>
      <c r="M96" s="568"/>
      <c r="N96" s="568"/>
      <c r="O96" s="568"/>
      <c r="P96" s="568"/>
      <c r="Q96" s="568"/>
      <c r="R96" s="568"/>
      <c r="S96" s="568"/>
      <c r="T96" s="568"/>
      <c r="U96" s="568"/>
      <c r="V96" s="568"/>
      <c r="W96" s="568"/>
      <c r="X96" s="568"/>
      <c r="Y96" s="568"/>
      <c r="Z96" s="568"/>
      <c r="AA96" s="568"/>
      <c r="AB96" s="568"/>
      <c r="AC96" s="568"/>
      <c r="AD96" s="568"/>
      <c r="AE96" s="568"/>
      <c r="AF96" s="568"/>
      <c r="AG96" s="568"/>
      <c r="AH96" s="568"/>
      <c r="AI96" s="568"/>
      <c r="AJ96" s="568"/>
      <c r="AK96" s="568"/>
      <c r="AL96" s="568"/>
      <c r="AM96" s="568"/>
      <c r="AN96" s="568"/>
      <c r="AO96" s="568"/>
      <c r="AP96" s="568"/>
      <c r="AQ96" s="568"/>
      <c r="AR96" s="568"/>
      <c r="AS96" s="568"/>
    </row>
    <row r="97" spans="1:45">
      <c r="A97" s="568" t="s">
        <v>419</v>
      </c>
      <c r="B97" s="568"/>
      <c r="C97" s="568"/>
      <c r="D97" s="568"/>
      <c r="E97" s="568"/>
      <c r="F97" s="568"/>
      <c r="G97" s="568"/>
      <c r="H97" s="568"/>
      <c r="I97" s="568"/>
      <c r="J97" s="568"/>
      <c r="K97" s="568"/>
      <c r="L97" s="568"/>
      <c r="M97" s="568"/>
      <c r="N97" s="568"/>
      <c r="O97" s="568"/>
      <c r="P97" s="568"/>
      <c r="Q97" s="568"/>
      <c r="R97" s="568"/>
      <c r="S97" s="568"/>
      <c r="T97" s="568"/>
      <c r="U97" s="568"/>
      <c r="V97" s="568"/>
      <c r="W97" s="568"/>
      <c r="X97" s="568"/>
      <c r="Y97" s="568"/>
      <c r="Z97" s="568"/>
      <c r="AA97" s="568"/>
      <c r="AB97" s="568"/>
      <c r="AC97" s="568"/>
      <c r="AD97" s="568"/>
      <c r="AE97" s="568"/>
      <c r="AF97" s="568"/>
      <c r="AG97" s="568"/>
      <c r="AH97" s="568"/>
      <c r="AI97" s="568"/>
      <c r="AJ97" s="568"/>
      <c r="AK97" s="568"/>
      <c r="AL97" s="568"/>
      <c r="AM97" s="568"/>
      <c r="AN97" s="568"/>
      <c r="AO97" s="568"/>
      <c r="AP97" s="568"/>
      <c r="AQ97" s="568"/>
      <c r="AR97" s="568"/>
      <c r="AS97" s="568"/>
    </row>
    <row r="98" spans="1:45" ht="15" customHeight="1">
      <c r="A98" s="568" t="s">
        <v>420</v>
      </c>
      <c r="B98" s="568"/>
      <c r="C98" s="568"/>
      <c r="D98" s="568"/>
      <c r="E98" s="568"/>
      <c r="F98" s="568"/>
      <c r="G98" s="568"/>
      <c r="H98" s="568"/>
      <c r="I98" s="568"/>
      <c r="J98" s="568"/>
      <c r="K98" s="568"/>
      <c r="L98" s="568"/>
      <c r="M98" s="568"/>
      <c r="N98" s="568"/>
      <c r="O98" s="568"/>
      <c r="P98" s="568"/>
      <c r="Q98" s="568"/>
      <c r="R98" s="568"/>
      <c r="S98" s="568"/>
      <c r="T98" s="568"/>
      <c r="U98" s="568"/>
      <c r="V98" s="568"/>
      <c r="W98" s="568"/>
      <c r="X98" s="568"/>
      <c r="Y98" s="568"/>
      <c r="Z98" s="568"/>
      <c r="AA98" s="568"/>
      <c r="AB98" s="568"/>
      <c r="AC98" s="568"/>
      <c r="AD98" s="568"/>
      <c r="AE98" s="568"/>
      <c r="AF98" s="568"/>
      <c r="AG98" s="568"/>
      <c r="AH98" s="568"/>
      <c r="AI98" s="568"/>
      <c r="AJ98" s="568"/>
      <c r="AK98" s="568"/>
      <c r="AL98" s="568"/>
      <c r="AM98" s="568"/>
      <c r="AN98" s="568"/>
      <c r="AO98" s="568"/>
      <c r="AP98" s="568"/>
      <c r="AQ98" s="568"/>
      <c r="AR98" s="568"/>
      <c r="AS98" s="568"/>
    </row>
    <row r="99" spans="1:45">
      <c r="A99" s="568" t="s">
        <v>421</v>
      </c>
      <c r="B99" s="568"/>
      <c r="C99" s="568"/>
      <c r="D99" s="568"/>
      <c r="E99" s="568"/>
      <c r="F99" s="568"/>
      <c r="G99" s="568"/>
      <c r="H99" s="568"/>
      <c r="I99" s="568"/>
      <c r="J99" s="568"/>
      <c r="K99" s="568"/>
      <c r="L99" s="568"/>
      <c r="M99" s="568"/>
      <c r="N99" s="568"/>
      <c r="O99" s="568"/>
      <c r="P99" s="568"/>
      <c r="Q99" s="568"/>
      <c r="R99" s="568"/>
      <c r="S99" s="568"/>
      <c r="T99" s="568"/>
      <c r="U99" s="568"/>
      <c r="V99" s="568"/>
      <c r="W99" s="568"/>
      <c r="X99" s="568"/>
      <c r="Y99" s="568"/>
      <c r="Z99" s="568"/>
      <c r="AA99" s="568"/>
      <c r="AB99" s="568"/>
      <c r="AC99" s="568"/>
      <c r="AD99" s="568"/>
      <c r="AE99" s="568"/>
      <c r="AF99" s="568"/>
      <c r="AG99" s="568"/>
      <c r="AH99" s="568"/>
      <c r="AI99" s="568"/>
      <c r="AJ99" s="568"/>
      <c r="AK99" s="568"/>
      <c r="AL99" s="568"/>
      <c r="AM99" s="568"/>
      <c r="AN99" s="568"/>
      <c r="AO99" s="568"/>
      <c r="AP99" s="568"/>
      <c r="AQ99" s="568"/>
      <c r="AR99" s="568"/>
      <c r="AS99" s="568"/>
    </row>
    <row r="100" spans="1:45" ht="30" customHeight="1">
      <c r="A100" s="568" t="s">
        <v>422</v>
      </c>
      <c r="B100" s="568"/>
      <c r="C100" s="568"/>
      <c r="D100" s="568"/>
      <c r="E100" s="568"/>
      <c r="F100" s="568"/>
      <c r="G100" s="568"/>
      <c r="H100" s="568"/>
      <c r="I100" s="568"/>
      <c r="J100" s="568"/>
      <c r="K100" s="568"/>
      <c r="L100" s="568"/>
      <c r="M100" s="568"/>
      <c r="N100" s="568"/>
      <c r="O100" s="568"/>
      <c r="P100" s="568"/>
      <c r="Q100" s="568"/>
      <c r="R100" s="568"/>
      <c r="S100" s="568"/>
      <c r="T100" s="568"/>
      <c r="U100" s="568"/>
      <c r="V100" s="568"/>
      <c r="W100" s="568"/>
      <c r="X100" s="568"/>
      <c r="Y100" s="568"/>
      <c r="Z100" s="568"/>
      <c r="AA100" s="568"/>
      <c r="AB100" s="568"/>
      <c r="AC100" s="568"/>
      <c r="AD100" s="568"/>
      <c r="AE100" s="568"/>
      <c r="AF100" s="568"/>
      <c r="AG100" s="568"/>
      <c r="AH100" s="568"/>
      <c r="AI100" s="568"/>
      <c r="AJ100" s="568"/>
      <c r="AK100" s="568"/>
      <c r="AL100" s="568"/>
      <c r="AM100" s="568"/>
      <c r="AN100" s="568"/>
      <c r="AO100" s="568"/>
      <c r="AP100" s="568"/>
      <c r="AQ100" s="568"/>
      <c r="AR100" s="568"/>
      <c r="AS100" s="568"/>
    </row>
    <row r="101" spans="1:45" ht="15" customHeight="1">
      <c r="A101" s="226"/>
      <c r="B101" s="226"/>
      <c r="C101" s="226"/>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c r="AP101" s="226"/>
      <c r="AQ101" s="226"/>
      <c r="AR101" s="226"/>
      <c r="AS101" s="226"/>
    </row>
    <row r="102" spans="1:45">
      <c r="A102" s="567" t="s">
        <v>580</v>
      </c>
      <c r="B102" s="567"/>
      <c r="C102" s="567"/>
      <c r="D102" s="567"/>
      <c r="E102" s="567"/>
      <c r="F102" s="567"/>
      <c r="G102" s="567"/>
      <c r="H102" s="567"/>
      <c r="I102" s="567"/>
      <c r="J102" s="567"/>
      <c r="K102" s="567"/>
      <c r="L102" s="567"/>
      <c r="M102" s="567"/>
      <c r="N102" s="567"/>
      <c r="O102" s="567"/>
      <c r="P102" s="567"/>
      <c r="Q102" s="567"/>
      <c r="R102" s="567"/>
      <c r="S102" s="567"/>
      <c r="T102" s="567"/>
      <c r="U102" s="567"/>
      <c r="V102" s="567"/>
      <c r="W102" s="567"/>
      <c r="X102" s="567"/>
      <c r="Y102" s="567"/>
      <c r="Z102" s="567"/>
      <c r="AA102" s="567"/>
      <c r="AB102" s="567"/>
      <c r="AC102" s="567"/>
      <c r="AD102" s="567"/>
      <c r="AE102" s="567"/>
      <c r="AF102" s="567"/>
      <c r="AG102" s="567"/>
      <c r="AH102" s="567"/>
      <c r="AI102" s="567"/>
      <c r="AJ102" s="567"/>
      <c r="AK102" s="567"/>
      <c r="AL102" s="567"/>
      <c r="AM102" s="567"/>
      <c r="AN102" s="567"/>
      <c r="AO102" s="567"/>
      <c r="AP102" s="567"/>
      <c r="AQ102" s="567"/>
      <c r="AR102" s="567"/>
      <c r="AS102" s="567"/>
    </row>
    <row r="103" spans="1:45">
      <c r="B103" s="88" t="str">
        <f>CONCATENATE("Арендодатель: ООО «",BX2,"»")</f>
        <v>Арендодатель: ООО «Универсальная производственно-строительная компания»</v>
      </c>
    </row>
    <row r="104" spans="1:45" ht="15.75" customHeight="1">
      <c r="B104" s="309" t="str">
        <f>CONCATENATE("Почтовый адрес: ",BX9)</f>
        <v>Почтовый адрес: 620066, Свердловская область, г. Екатеринбург, ул. Вилонова, стр. 45Л</v>
      </c>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08"/>
      <c r="AN104" s="308"/>
      <c r="AO104" s="308"/>
      <c r="AP104" s="308"/>
      <c r="AQ104" s="308"/>
      <c r="AR104" s="308"/>
      <c r="AS104" s="308"/>
    </row>
    <row r="105" spans="1:45" ht="15.75" customHeight="1">
      <c r="B105" s="309" t="str">
        <f>CONCATENATE("Юридический адрес: ",BX8)</f>
        <v>Юридический адрес: 620066, Свердловская область, г. Екатеринбург, ул. Вилонова, стр. 45Л, офис 506,</v>
      </c>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08"/>
      <c r="AN105" s="308"/>
      <c r="AO105" s="308"/>
      <c r="AP105" s="308"/>
      <c r="AQ105" s="308"/>
      <c r="AR105" s="308"/>
      <c r="AS105" s="308"/>
    </row>
    <row r="106" spans="1:45" ht="15.75" customHeight="1">
      <c r="B106" s="309" t="str">
        <f>CONCATENATE("ИНН/КПП  ",BX5," / ",BX6)</f>
        <v>ИНН/КПП  6670463929 / 667001001</v>
      </c>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row>
    <row r="107" spans="1:45" ht="15.75" customHeight="1">
      <c r="B107" s="309" t="str">
        <f>CONCATENATE("Р/счет ",BX10," в ",BX11)</f>
        <v>Р/счет 40702810816540041503 в УРАЛЬСКИЙ БАНК ПАО СБЕРБАНК</v>
      </c>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c r="AJ107" s="308"/>
      <c r="AK107" s="308"/>
      <c r="AL107" s="308"/>
      <c r="AM107" s="308"/>
      <c r="AN107" s="308"/>
      <c r="AO107" s="308"/>
      <c r="AP107" s="308"/>
      <c r="AQ107" s="308"/>
      <c r="AR107" s="308"/>
      <c r="AS107" s="308"/>
    </row>
    <row r="108" spans="1:45" ht="15.75" customHeight="1">
      <c r="B108" s="309" t="str">
        <f>CONCATENATE("БИК ",BX13)</f>
        <v>БИК 046577674</v>
      </c>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c r="AM108" s="308"/>
      <c r="AN108" s="308"/>
      <c r="AO108" s="308"/>
      <c r="AP108" s="308"/>
      <c r="AQ108" s="308"/>
      <c r="AR108" s="308"/>
      <c r="AS108" s="308"/>
    </row>
    <row r="109" spans="1:45">
      <c r="B109" s="309" t="str">
        <f>CONCATENATE("К/с ",BX12)</f>
        <v>К/с 30101810500000000674</v>
      </c>
      <c r="C109" s="308"/>
      <c r="D109" s="308"/>
      <c r="E109" s="308"/>
      <c r="F109" s="308"/>
      <c r="G109" s="308"/>
      <c r="H109" s="308"/>
      <c r="I109" s="308"/>
      <c r="J109" s="308"/>
      <c r="K109" s="308"/>
      <c r="L109" s="308"/>
      <c r="M109" s="308"/>
      <c r="N109" s="308"/>
      <c r="O109" s="308"/>
      <c r="P109" s="308"/>
      <c r="Q109" s="308"/>
      <c r="R109" s="308"/>
      <c r="S109" s="308"/>
      <c r="T109" s="308"/>
      <c r="U109" s="308"/>
      <c r="V109" s="316" t="s">
        <v>543</v>
      </c>
      <c r="W109" s="317"/>
      <c r="X109" s="317"/>
      <c r="Y109" s="317"/>
      <c r="Z109" s="317"/>
      <c r="AA109" s="317"/>
      <c r="AB109" s="317"/>
      <c r="AC109" s="317"/>
      <c r="AD109" s="317"/>
      <c r="AE109" s="317"/>
      <c r="AF109" s="308"/>
      <c r="AG109" s="308"/>
      <c r="AH109" s="308"/>
      <c r="AI109" s="308"/>
      <c r="AJ109" s="308"/>
      <c r="AK109" s="308"/>
      <c r="AL109" s="308"/>
      <c r="AM109" s="308"/>
      <c r="AN109" s="308"/>
      <c r="AO109" s="308"/>
      <c r="AP109" s="308"/>
      <c r="AQ109" s="308"/>
      <c r="AR109" s="308"/>
      <c r="AS109" s="308"/>
    </row>
    <row r="110" spans="1:45">
      <c r="B110" s="309" t="str">
        <f>CONCATENATE("ОГРН: ",BX7)</f>
        <v>ОГРН: 1186658009042</v>
      </c>
      <c r="C110" s="308"/>
      <c r="D110" s="308"/>
      <c r="E110" s="308"/>
      <c r="F110" s="308"/>
      <c r="G110" s="308"/>
      <c r="H110" s="308"/>
      <c r="I110" s="308"/>
      <c r="J110" s="308"/>
      <c r="K110" s="308"/>
      <c r="L110" s="308"/>
      <c r="M110" s="308"/>
      <c r="N110" s="308"/>
      <c r="O110" s="308"/>
      <c r="P110" s="308"/>
      <c r="Q110" s="308"/>
      <c r="R110" s="308"/>
      <c r="S110" s="308"/>
      <c r="T110" s="308"/>
      <c r="U110" s="308"/>
      <c r="AF110" s="308"/>
      <c r="AG110" s="308"/>
      <c r="AH110" s="308"/>
      <c r="AI110" s="308"/>
      <c r="AJ110" s="308"/>
      <c r="AK110" s="308"/>
      <c r="AL110" s="308"/>
      <c r="AM110" s="308"/>
      <c r="AN110" s="308"/>
      <c r="AO110" s="308"/>
      <c r="AP110" s="308"/>
      <c r="AQ110" s="308"/>
      <c r="AR110" s="308"/>
      <c r="AS110" s="308"/>
    </row>
    <row r="112" spans="1:45">
      <c r="B112" s="164" t="str">
        <f>CONCATENATE("Арендатор: ",ДляДоговора!B4)</f>
        <v>Арендатор: ООО "Эдвако-Инжиниринг"</v>
      </c>
    </row>
    <row r="113" spans="2:42">
      <c r="B113" s="166" t="str">
        <f>CONCATENATE("Юридический адрес: ",ДляДоговора!B9)</f>
        <v>Юридический адрес: 620014, РФ, г. Екатеринбург, ул. Московская, д.11 офис 903</v>
      </c>
    </row>
    <row r="114" spans="2:42">
      <c r="B114" s="136" t="str">
        <f>CONCATENATE("Фактический адрес: ",ДляДоговора!B17)</f>
        <v xml:space="preserve">Фактический адрес: 620014, РФ, г. Екатеринбург, ул. Московская, д.11 офис 903 </v>
      </c>
      <c r="AE114" s="95"/>
    </row>
    <row r="115" spans="2:42">
      <c r="B115" s="166" t="str">
        <f>CONCATENATE("ИНН/КПП ",ДляДоговора!B10,"/",ДляДоговора!B11)</f>
        <v>ИНН/КПП 6658401387/665801001</v>
      </c>
      <c r="AE115" s="95"/>
    </row>
    <row r="116" spans="2:42">
      <c r="B116" s="166" t="str">
        <f>CONCATENATE("Р/счет ",ДляДоговора!B12," в ",ДляДоговора!B13)</f>
        <v>Р/счет 40702810562130001221  в ПАО КБ «УБРиР»</v>
      </c>
      <c r="AE116" s="95"/>
    </row>
    <row r="117" spans="2:42">
      <c r="B117" s="166" t="str">
        <f>CONCATENATE("БИК ",ДляДоговора!B14)</f>
        <v>БИК 046577795</v>
      </c>
      <c r="AE117" s="95"/>
    </row>
    <row r="118" spans="2:42">
      <c r="B118" s="166" t="str">
        <f>CONCATENATE("К/с ",ДляДоговора!B15)</f>
        <v>К/с 30101810900000000795</v>
      </c>
      <c r="V118" s="97" t="str">
        <f>CONCATENATE("e-mail: ",ДляДоговора!B19)</f>
        <v>e-mail: ekoryazhbin@mail.ru</v>
      </c>
      <c r="W118" s="97"/>
      <c r="X118" s="97"/>
      <c r="Y118" s="97"/>
      <c r="Z118" s="97"/>
      <c r="AA118" s="97"/>
      <c r="AB118" s="97"/>
      <c r="AC118" s="97"/>
      <c r="AD118" s="97"/>
      <c r="AE118" s="318"/>
      <c r="AF118" s="97"/>
      <c r="AG118" s="97"/>
      <c r="AH118" s="97"/>
      <c r="AI118" s="97"/>
      <c r="AJ118" s="97"/>
      <c r="AK118" s="97"/>
    </row>
    <row r="119" spans="2:42">
      <c r="B119" s="166" t="str">
        <f>CONCATENATE("ОГРН: ",ДляДоговора!B16)</f>
        <v>ОГРН: 1126658000050</v>
      </c>
    </row>
    <row r="120" spans="2:42">
      <c r="Q120" s="88" t="s">
        <v>115</v>
      </c>
    </row>
    <row r="122" spans="2:42">
      <c r="B122" s="94" t="s">
        <v>116</v>
      </c>
      <c r="AF122" s="94" t="s">
        <v>117</v>
      </c>
    </row>
    <row r="124" spans="2:42">
      <c r="B124" s="97"/>
      <c r="C124" s="97"/>
      <c r="D124" s="97"/>
      <c r="E124" s="97"/>
      <c r="F124" s="97"/>
      <c r="G124" s="97"/>
      <c r="H124" s="97"/>
      <c r="I124" s="97"/>
      <c r="J124" s="97"/>
      <c r="K124" s="97"/>
      <c r="L124" s="97"/>
      <c r="M124" s="93" t="str">
        <f>BX4</f>
        <v>А.П. Выборных</v>
      </c>
      <c r="AF124" s="97"/>
      <c r="AG124" s="97"/>
      <c r="AH124" s="97"/>
      <c r="AI124" s="97"/>
      <c r="AJ124" s="97"/>
      <c r="AK124" s="97"/>
      <c r="AL124" s="97"/>
      <c r="AM124" s="97"/>
      <c r="AN124" s="97"/>
      <c r="AO124" s="97"/>
      <c r="AP124" s="97"/>
    </row>
    <row r="126" spans="2:42">
      <c r="B126" s="94" t="s">
        <v>118</v>
      </c>
      <c r="AF126" s="94" t="s">
        <v>118</v>
      </c>
    </row>
    <row r="127" spans="2:42" hidden="1"/>
    <row r="128" spans="2:42" hidden="1"/>
    <row r="129" spans="1:49">
      <c r="A129" s="544" t="str">
        <f ca="1">CONCATENATE("Приложение №1 к договору аренды оборудования №",ДляДоговора!B2)</f>
        <v>Приложение №1 к договору аренды оборудования №30/03-А(23)</v>
      </c>
      <c r="B129" s="544"/>
      <c r="C129" s="544"/>
      <c r="D129" s="544"/>
      <c r="E129" s="544"/>
      <c r="F129" s="544"/>
      <c r="G129" s="544"/>
      <c r="H129" s="544"/>
      <c r="I129" s="544"/>
      <c r="J129" s="544"/>
      <c r="K129" s="544"/>
      <c r="L129" s="544"/>
      <c r="M129" s="544"/>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44"/>
      <c r="AQ129" s="544"/>
      <c r="AR129" s="544"/>
      <c r="AS129" s="544"/>
    </row>
    <row r="130" spans="1:49">
      <c r="AL130" s="197" t="str">
        <f ca="1">CONCATENATE("от ",ДляДоговора!B3)</f>
        <v>от 30 марта 2023г.</v>
      </c>
    </row>
    <row r="131" spans="1:49">
      <c r="V131" s="88"/>
    </row>
    <row r="132" spans="1:49">
      <c r="A132" s="545" t="str">
        <f>CONCATENATE("СПЕЦИФИКАЦИЯ №",AV132," НА АРЕНДУЕМОЕ ОБОРУДОВАНИЕ")</f>
        <v>СПЕЦИФИКАЦИЯ №1 НА АРЕНДУЕМОЕ ОБОРУДОВАНИЕ</v>
      </c>
      <c r="B132" s="545"/>
      <c r="C132" s="545"/>
      <c r="D132" s="545"/>
      <c r="E132" s="545"/>
      <c r="F132" s="545"/>
      <c r="G132" s="545"/>
      <c r="H132" s="545"/>
      <c r="I132" s="545"/>
      <c r="J132" s="545"/>
      <c r="K132" s="545"/>
      <c r="L132" s="545"/>
      <c r="M132" s="545"/>
      <c r="N132" s="545"/>
      <c r="O132" s="545"/>
      <c r="P132" s="545"/>
      <c r="Q132" s="545"/>
      <c r="R132" s="545"/>
      <c r="S132" s="545"/>
      <c r="T132" s="545"/>
      <c r="U132" s="545"/>
      <c r="V132" s="545"/>
      <c r="W132" s="545"/>
      <c r="X132" s="545"/>
      <c r="Y132" s="545"/>
      <c r="Z132" s="545"/>
      <c r="AA132" s="545"/>
      <c r="AB132" s="545"/>
      <c r="AC132" s="545"/>
      <c r="AD132" s="545"/>
      <c r="AE132" s="545"/>
      <c r="AF132" s="545"/>
      <c r="AG132" s="545"/>
      <c r="AH132" s="545"/>
      <c r="AI132" s="545"/>
      <c r="AJ132" s="545"/>
      <c r="AK132" s="545"/>
      <c r="AL132" s="545"/>
      <c r="AM132" s="545"/>
      <c r="AN132" s="545"/>
      <c r="AO132" s="545"/>
      <c r="AP132" s="545"/>
      <c r="AQ132" s="545"/>
      <c r="AR132" s="545"/>
      <c r="AS132" s="545"/>
      <c r="AV132" s="241">
        <v>1</v>
      </c>
      <c r="AW132" s="93" t="s">
        <v>461</v>
      </c>
    </row>
    <row r="133" spans="1:49">
      <c r="A133" s="569" t="str">
        <f>CONCATENATE("СТРОИТЕЛЬНЫЕ ЛЕСА ЛСПР-200 ",AW18,)</f>
        <v>СТРОИТЕЛЬНЫЕ ЛЕСА ЛСПР-200 24м2</v>
      </c>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V133" s="272"/>
    </row>
    <row r="134" spans="1:49">
      <c r="A134" s="216"/>
      <c r="B134" s="216"/>
      <c r="C134" s="216"/>
      <c r="D134" s="216"/>
      <c r="E134" s="216"/>
      <c r="F134" s="216"/>
      <c r="G134" s="216"/>
      <c r="H134" s="216"/>
      <c r="I134" s="216"/>
      <c r="J134" s="216"/>
      <c r="K134" s="216"/>
      <c r="L134" s="216"/>
      <c r="M134" s="216"/>
      <c r="N134" s="216"/>
      <c r="O134" s="216"/>
      <c r="P134" s="216"/>
      <c r="Q134" s="216"/>
      <c r="R134" s="216"/>
      <c r="S134" s="216"/>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216"/>
      <c r="AP134" s="216"/>
      <c r="AQ134" s="216"/>
      <c r="AR134" s="216"/>
      <c r="AS134" s="216"/>
    </row>
    <row r="135" spans="1:49">
      <c r="A135" s="94" t="str">
        <f>ДляДоговора!B22</f>
        <v>г. Екатеринбург</v>
      </c>
    </row>
    <row r="137" spans="1:49">
      <c r="A137" s="566" t="s">
        <v>399</v>
      </c>
      <c r="B137" s="566"/>
      <c r="C137" s="566"/>
      <c r="D137" s="566"/>
      <c r="E137" s="566"/>
      <c r="F137" s="566"/>
      <c r="G137" s="566"/>
      <c r="H137" s="566"/>
      <c r="I137" s="566"/>
      <c r="J137" s="566"/>
      <c r="K137" s="566"/>
      <c r="L137" s="566"/>
      <c r="M137" s="566"/>
      <c r="N137" s="566"/>
      <c r="O137" s="566"/>
      <c r="P137" s="566"/>
      <c r="Q137" s="566"/>
      <c r="R137" s="566"/>
      <c r="S137" s="566"/>
      <c r="T137" s="566"/>
      <c r="U137" s="566"/>
      <c r="V137" s="566"/>
      <c r="W137" s="566"/>
      <c r="X137" s="566"/>
      <c r="Y137" s="566"/>
      <c r="Z137" s="566"/>
      <c r="AA137" s="566"/>
      <c r="AB137" s="566"/>
      <c r="AC137" s="566"/>
      <c r="AD137" s="566"/>
      <c r="AE137" s="566"/>
      <c r="AF137" s="566"/>
      <c r="AG137" s="566"/>
      <c r="AH137" s="566"/>
      <c r="AI137" s="566"/>
      <c r="AJ137" s="566"/>
      <c r="AK137" s="566"/>
      <c r="AL137" s="566"/>
      <c r="AM137" s="566"/>
      <c r="AN137" s="566"/>
      <c r="AO137" s="566"/>
      <c r="AP137" s="566"/>
      <c r="AQ137" s="566"/>
      <c r="AR137" s="566"/>
      <c r="AS137" s="566"/>
      <c r="AT137" s="566"/>
    </row>
    <row r="138" spans="1:49">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row>
    <row r="139" spans="1:49">
      <c r="A139" s="217"/>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505" t="s">
        <v>476</v>
      </c>
      <c r="Y139" s="505"/>
      <c r="Z139" s="505"/>
      <c r="AA139" s="505"/>
      <c r="AB139" s="505"/>
      <c r="AC139" s="505"/>
      <c r="AD139" s="505"/>
      <c r="AE139" s="505"/>
      <c r="AF139" s="505"/>
      <c r="AG139" s="505"/>
      <c r="AH139" s="505"/>
      <c r="AI139" s="505"/>
      <c r="AJ139" s="505" t="s">
        <v>477</v>
      </c>
      <c r="AK139" s="505"/>
      <c r="AL139" s="505"/>
      <c r="AM139" s="505"/>
      <c r="AN139" s="505"/>
      <c r="AO139" s="505"/>
      <c r="AP139" s="505"/>
      <c r="AQ139" s="505"/>
      <c r="AR139" s="505"/>
      <c r="AS139" s="505"/>
      <c r="AT139" s="217"/>
    </row>
    <row r="140" spans="1:49" ht="36" customHeight="1">
      <c r="A140" s="507" t="s">
        <v>473</v>
      </c>
      <c r="B140" s="510"/>
      <c r="C140" s="510" t="s">
        <v>31</v>
      </c>
      <c r="D140" s="510"/>
      <c r="E140" s="510"/>
      <c r="F140" s="510"/>
      <c r="G140" s="510"/>
      <c r="H140" s="510"/>
      <c r="I140" s="510"/>
      <c r="J140" s="510"/>
      <c r="K140" s="510"/>
      <c r="L140" s="510"/>
      <c r="M140" s="510"/>
      <c r="N140" s="510"/>
      <c r="O140" s="510"/>
      <c r="P140" s="510"/>
      <c r="Q140" s="510"/>
      <c r="R140" s="510"/>
      <c r="S140" s="510"/>
      <c r="T140" s="507" t="s">
        <v>471</v>
      </c>
      <c r="U140" s="507"/>
      <c r="V140" s="507"/>
      <c r="W140" s="507"/>
      <c r="X140" s="507" t="s">
        <v>122</v>
      </c>
      <c r="Y140" s="507"/>
      <c r="Z140" s="507"/>
      <c r="AA140" s="507"/>
      <c r="AB140" s="507"/>
      <c r="AC140" s="507"/>
      <c r="AD140" s="507" t="s">
        <v>472</v>
      </c>
      <c r="AE140" s="507"/>
      <c r="AF140" s="507"/>
      <c r="AG140" s="507"/>
      <c r="AH140" s="507"/>
      <c r="AI140" s="507"/>
      <c r="AJ140" s="506" t="s">
        <v>474</v>
      </c>
      <c r="AK140" s="507"/>
      <c r="AL140" s="507"/>
      <c r="AM140" s="507"/>
      <c r="AN140" s="507"/>
      <c r="AO140" s="507" t="s">
        <v>475</v>
      </c>
      <c r="AP140" s="510"/>
      <c r="AQ140" s="510"/>
      <c r="AR140" s="510"/>
      <c r="AS140" s="510"/>
    </row>
    <row r="141" spans="1:49">
      <c r="A141" s="516">
        <v>1</v>
      </c>
      <c r="B141" s="516"/>
      <c r="C141" s="515" t="s">
        <v>124</v>
      </c>
      <c r="D141" s="515"/>
      <c r="E141" s="515"/>
      <c r="F141" s="515"/>
      <c r="G141" s="515"/>
      <c r="H141" s="515"/>
      <c r="I141" s="515"/>
      <c r="J141" s="515"/>
      <c r="K141" s="515"/>
      <c r="L141" s="515"/>
      <c r="M141" s="515"/>
      <c r="N141" s="515"/>
      <c r="O141" s="515"/>
      <c r="P141" s="515"/>
      <c r="Q141" s="515"/>
      <c r="R141" s="515"/>
      <c r="S141" s="515"/>
      <c r="T141" s="513">
        <f>'Расчет лесов'!B$8</f>
        <v>4</v>
      </c>
      <c r="U141" s="513"/>
      <c r="V141" s="513"/>
      <c r="W141" s="513"/>
      <c r="X141" s="514">
        <f>'Расчет лесов'!C$8</f>
        <v>1400</v>
      </c>
      <c r="Y141" s="514"/>
      <c r="Z141" s="514"/>
      <c r="AA141" s="514"/>
      <c r="AB141" s="514"/>
      <c r="AC141" s="514"/>
      <c r="AD141" s="511">
        <f t="shared" ref="AD141:AD146" si="0">T141*X141</f>
        <v>5600</v>
      </c>
      <c r="AE141" s="511"/>
      <c r="AF141" s="511"/>
      <c r="AG141" s="511"/>
      <c r="AH141" s="511"/>
      <c r="AI141" s="511"/>
      <c r="AJ141" s="508">
        <f>AU141</f>
        <v>9.6999999999999993</v>
      </c>
      <c r="AK141" s="508"/>
      <c r="AL141" s="508"/>
      <c r="AM141" s="508"/>
      <c r="AN141" s="508"/>
      <c r="AO141" s="511">
        <f>AJ141*T141</f>
        <v>38.799999999999997</v>
      </c>
      <c r="AP141" s="511"/>
      <c r="AQ141" s="511"/>
      <c r="AR141" s="511"/>
      <c r="AS141" s="511"/>
      <c r="AU141" s="93">
        <f>ROUND(AV141,1)</f>
        <v>9.6999999999999993</v>
      </c>
      <c r="AV141" s="219">
        <f>'Расчет лесов'!G8</f>
        <v>9.6583442838370566</v>
      </c>
    </row>
    <row r="142" spans="1:49">
      <c r="A142" s="516">
        <v>2</v>
      </c>
      <c r="B142" s="516"/>
      <c r="C142" s="515" t="s">
        <v>125</v>
      </c>
      <c r="D142" s="515"/>
      <c r="E142" s="515"/>
      <c r="F142" s="515"/>
      <c r="G142" s="515"/>
      <c r="H142" s="515"/>
      <c r="I142" s="515"/>
      <c r="J142" s="515"/>
      <c r="K142" s="515"/>
      <c r="L142" s="515"/>
      <c r="M142" s="515"/>
      <c r="N142" s="515"/>
      <c r="O142" s="515"/>
      <c r="P142" s="515"/>
      <c r="Q142" s="515"/>
      <c r="R142" s="515"/>
      <c r="S142" s="515"/>
      <c r="T142" s="513">
        <f>'Расчет лесов'!B$9</f>
        <v>4</v>
      </c>
      <c r="U142" s="513"/>
      <c r="V142" s="513"/>
      <c r="W142" s="513"/>
      <c r="X142" s="514">
        <f>'Расчет лесов'!C$9</f>
        <v>1670</v>
      </c>
      <c r="Y142" s="514"/>
      <c r="Z142" s="514"/>
      <c r="AA142" s="514"/>
      <c r="AB142" s="514"/>
      <c r="AC142" s="514"/>
      <c r="AD142" s="511">
        <f t="shared" si="0"/>
        <v>6680</v>
      </c>
      <c r="AE142" s="511"/>
      <c r="AF142" s="511"/>
      <c r="AG142" s="511"/>
      <c r="AH142" s="511"/>
      <c r="AI142" s="511"/>
      <c r="AJ142" s="508">
        <f t="shared" ref="AJ142:AJ146" si="1">AU142</f>
        <v>11.5</v>
      </c>
      <c r="AK142" s="508"/>
      <c r="AL142" s="508"/>
      <c r="AM142" s="508"/>
      <c r="AN142" s="508"/>
      <c r="AO142" s="511">
        <f t="shared" ref="AO142:AO146" si="2">AJ142*T142</f>
        <v>46</v>
      </c>
      <c r="AP142" s="511"/>
      <c r="AQ142" s="511"/>
      <c r="AR142" s="511"/>
      <c r="AS142" s="511"/>
      <c r="AU142" s="93">
        <f t="shared" ref="AU142:AU146" si="3">ROUND(AV142,1)</f>
        <v>11.5</v>
      </c>
      <c r="AV142" s="219">
        <f>'Расчет лесов'!G9</f>
        <v>11.52102496714849</v>
      </c>
    </row>
    <row r="143" spans="1:49">
      <c r="A143" s="516">
        <v>3</v>
      </c>
      <c r="B143" s="516"/>
      <c r="C143" s="515" t="s">
        <v>126</v>
      </c>
      <c r="D143" s="515"/>
      <c r="E143" s="515"/>
      <c r="F143" s="515"/>
      <c r="G143" s="515"/>
      <c r="H143" s="515"/>
      <c r="I143" s="515"/>
      <c r="J143" s="515"/>
      <c r="K143" s="515"/>
      <c r="L143" s="515"/>
      <c r="M143" s="515"/>
      <c r="N143" s="515"/>
      <c r="O143" s="515"/>
      <c r="P143" s="515"/>
      <c r="Q143" s="515"/>
      <c r="R143" s="515"/>
      <c r="S143" s="515"/>
      <c r="T143" s="513">
        <f>'Расчет лесов'!B$10</f>
        <v>4</v>
      </c>
      <c r="U143" s="513"/>
      <c r="V143" s="513"/>
      <c r="W143" s="513"/>
      <c r="X143" s="514">
        <f>'Расчет лесов'!C$10</f>
        <v>630</v>
      </c>
      <c r="Y143" s="514"/>
      <c r="Z143" s="514"/>
      <c r="AA143" s="514"/>
      <c r="AB143" s="514"/>
      <c r="AC143" s="514"/>
      <c r="AD143" s="511">
        <f t="shared" si="0"/>
        <v>2520</v>
      </c>
      <c r="AE143" s="511"/>
      <c r="AF143" s="511"/>
      <c r="AG143" s="511"/>
      <c r="AH143" s="511"/>
      <c r="AI143" s="511"/>
      <c r="AJ143" s="508">
        <f t="shared" si="1"/>
        <v>4.3</v>
      </c>
      <c r="AK143" s="508"/>
      <c r="AL143" s="508"/>
      <c r="AM143" s="508"/>
      <c r="AN143" s="508"/>
      <c r="AO143" s="511">
        <f t="shared" si="2"/>
        <v>17.2</v>
      </c>
      <c r="AP143" s="511"/>
      <c r="AQ143" s="511"/>
      <c r="AR143" s="511"/>
      <c r="AS143" s="511"/>
      <c r="AU143" s="93">
        <f t="shared" si="3"/>
        <v>4.3</v>
      </c>
      <c r="AV143" s="219">
        <f>'Расчет лесов'!G10</f>
        <v>4.346254927726676</v>
      </c>
    </row>
    <row r="144" spans="1:49">
      <c r="A144" s="516">
        <v>4</v>
      </c>
      <c r="B144" s="516"/>
      <c r="C144" s="515" t="s">
        <v>470</v>
      </c>
      <c r="D144" s="515"/>
      <c r="E144" s="515"/>
      <c r="F144" s="515"/>
      <c r="G144" s="515"/>
      <c r="H144" s="515"/>
      <c r="I144" s="515"/>
      <c r="J144" s="515"/>
      <c r="K144" s="515"/>
      <c r="L144" s="515"/>
      <c r="M144" s="515"/>
      <c r="N144" s="515"/>
      <c r="O144" s="515"/>
      <c r="P144" s="515"/>
      <c r="Q144" s="515"/>
      <c r="R144" s="515"/>
      <c r="S144" s="515"/>
      <c r="T144" s="513">
        <f>'Расчет лесов'!B$11</f>
        <v>4</v>
      </c>
      <c r="U144" s="513"/>
      <c r="V144" s="513"/>
      <c r="W144" s="513"/>
      <c r="X144" s="514">
        <f>'Расчет лесов'!C$11</f>
        <v>320</v>
      </c>
      <c r="Y144" s="514"/>
      <c r="Z144" s="514"/>
      <c r="AA144" s="514"/>
      <c r="AB144" s="514"/>
      <c r="AC144" s="514"/>
      <c r="AD144" s="511">
        <f t="shared" si="0"/>
        <v>1280</v>
      </c>
      <c r="AE144" s="511"/>
      <c r="AF144" s="511"/>
      <c r="AG144" s="511"/>
      <c r="AH144" s="511"/>
      <c r="AI144" s="511"/>
      <c r="AJ144" s="508">
        <f t="shared" si="1"/>
        <v>2.2000000000000002</v>
      </c>
      <c r="AK144" s="508"/>
      <c r="AL144" s="508"/>
      <c r="AM144" s="508"/>
      <c r="AN144" s="508"/>
      <c r="AO144" s="511">
        <f t="shared" si="2"/>
        <v>8.8000000000000007</v>
      </c>
      <c r="AP144" s="511"/>
      <c r="AQ144" s="511"/>
      <c r="AR144" s="511"/>
      <c r="AS144" s="511"/>
      <c r="AU144" s="93">
        <f t="shared" si="3"/>
        <v>2.2000000000000002</v>
      </c>
      <c r="AV144" s="219">
        <f>'Расчет лесов'!G11</f>
        <v>2.2076215505913273</v>
      </c>
    </row>
    <row r="145" spans="1:76">
      <c r="A145" s="516">
        <v>5</v>
      </c>
      <c r="B145" s="516"/>
      <c r="C145" s="515" t="s">
        <v>128</v>
      </c>
      <c r="D145" s="515"/>
      <c r="E145" s="515"/>
      <c r="F145" s="515"/>
      <c r="G145" s="515"/>
      <c r="H145" s="515"/>
      <c r="I145" s="515"/>
      <c r="J145" s="515"/>
      <c r="K145" s="515"/>
      <c r="L145" s="515"/>
      <c r="M145" s="515"/>
      <c r="N145" s="515"/>
      <c r="O145" s="515"/>
      <c r="P145" s="515"/>
      <c r="Q145" s="515"/>
      <c r="R145" s="515"/>
      <c r="S145" s="515"/>
      <c r="T145" s="513">
        <f>'Расчет лесов'!B$12</f>
        <v>12</v>
      </c>
      <c r="U145" s="513"/>
      <c r="V145" s="513"/>
      <c r="W145" s="513"/>
      <c r="X145" s="514">
        <f>'Расчет лесов'!C$12</f>
        <v>450</v>
      </c>
      <c r="Y145" s="514"/>
      <c r="Z145" s="514"/>
      <c r="AA145" s="514"/>
      <c r="AB145" s="514"/>
      <c r="AC145" s="514"/>
      <c r="AD145" s="511">
        <f t="shared" si="0"/>
        <v>5400</v>
      </c>
      <c r="AE145" s="511"/>
      <c r="AF145" s="511"/>
      <c r="AG145" s="511"/>
      <c r="AH145" s="511"/>
      <c r="AI145" s="511"/>
      <c r="AJ145" s="508">
        <f t="shared" si="1"/>
        <v>3.1</v>
      </c>
      <c r="AK145" s="508"/>
      <c r="AL145" s="508"/>
      <c r="AM145" s="508"/>
      <c r="AN145" s="508"/>
      <c r="AO145" s="511">
        <f t="shared" si="2"/>
        <v>37.200000000000003</v>
      </c>
      <c r="AP145" s="511"/>
      <c r="AQ145" s="511"/>
      <c r="AR145" s="511"/>
      <c r="AS145" s="511"/>
      <c r="AU145" s="93">
        <f t="shared" si="3"/>
        <v>3.1</v>
      </c>
      <c r="AV145" s="219">
        <f>'Расчет лесов'!G12</f>
        <v>3.1044678055190542</v>
      </c>
    </row>
    <row r="146" spans="1:76">
      <c r="A146" s="516">
        <v>6</v>
      </c>
      <c r="B146" s="516"/>
      <c r="C146" s="515" t="s">
        <v>341</v>
      </c>
      <c r="D146" s="515"/>
      <c r="E146" s="515"/>
      <c r="F146" s="515"/>
      <c r="G146" s="515"/>
      <c r="H146" s="515"/>
      <c r="I146" s="515"/>
      <c r="J146" s="515"/>
      <c r="K146" s="515"/>
      <c r="L146" s="515"/>
      <c r="M146" s="515"/>
      <c r="N146" s="515"/>
      <c r="O146" s="515"/>
      <c r="P146" s="515"/>
      <c r="Q146" s="515"/>
      <c r="R146" s="515"/>
      <c r="S146" s="515"/>
      <c r="T146" s="513">
        <f>'Расчет лесов'!B$13</f>
        <v>8</v>
      </c>
      <c r="U146" s="513"/>
      <c r="V146" s="513"/>
      <c r="W146" s="513"/>
      <c r="X146" s="514">
        <f>'Расчет лесов'!C$13</f>
        <v>1120</v>
      </c>
      <c r="Y146" s="514"/>
      <c r="Z146" s="514"/>
      <c r="AA146" s="514"/>
      <c r="AB146" s="514"/>
      <c r="AC146" s="514"/>
      <c r="AD146" s="511">
        <f t="shared" si="0"/>
        <v>8960</v>
      </c>
      <c r="AE146" s="511"/>
      <c r="AF146" s="511"/>
      <c r="AG146" s="511"/>
      <c r="AH146" s="511"/>
      <c r="AI146" s="511"/>
      <c r="AJ146" s="508">
        <f t="shared" si="1"/>
        <v>7.7</v>
      </c>
      <c r="AK146" s="508"/>
      <c r="AL146" s="508"/>
      <c r="AM146" s="508"/>
      <c r="AN146" s="508"/>
      <c r="AO146" s="511">
        <f t="shared" si="2"/>
        <v>61.6</v>
      </c>
      <c r="AP146" s="511"/>
      <c r="AQ146" s="511"/>
      <c r="AR146" s="511"/>
      <c r="AS146" s="511"/>
      <c r="AU146" s="93">
        <f t="shared" si="3"/>
        <v>7.7</v>
      </c>
      <c r="AV146" s="219">
        <f>'Расчет лесов'!G13</f>
        <v>7.7266754270696447</v>
      </c>
      <c r="AX146" s="271">
        <v>4</v>
      </c>
      <c r="AY146" s="271">
        <v>7</v>
      </c>
      <c r="AZ146" s="271">
        <v>14</v>
      </c>
      <c r="BA146" s="271">
        <v>30</v>
      </c>
      <c r="BB146" s="271">
        <v>45</v>
      </c>
      <c r="BC146" s="271">
        <v>60</v>
      </c>
    </row>
    <row r="147" spans="1:76" hidden="1">
      <c r="A147" s="516">
        <v>7</v>
      </c>
      <c r="B147" s="516"/>
      <c r="C147" s="515" t="s">
        <v>636</v>
      </c>
      <c r="D147" s="515"/>
      <c r="E147" s="515"/>
      <c r="F147" s="515"/>
      <c r="G147" s="515"/>
      <c r="H147" s="515"/>
      <c r="I147" s="515"/>
      <c r="J147" s="515"/>
      <c r="K147" s="515"/>
      <c r="L147" s="515"/>
      <c r="M147" s="515"/>
      <c r="N147" s="515"/>
      <c r="O147" s="515"/>
      <c r="P147" s="515"/>
      <c r="Q147" s="515"/>
      <c r="R147" s="515"/>
      <c r="S147" s="515"/>
      <c r="T147" s="513">
        <f>'Расчет лесов'!B$14</f>
        <v>0</v>
      </c>
      <c r="U147" s="513"/>
      <c r="V147" s="513"/>
      <c r="W147" s="513"/>
      <c r="X147" s="514">
        <f>'Расчет лесов'!C$14</f>
        <v>200</v>
      </c>
      <c r="Y147" s="514"/>
      <c r="Z147" s="514"/>
      <c r="AA147" s="514"/>
      <c r="AB147" s="514"/>
      <c r="AC147" s="514"/>
      <c r="AD147" s="511">
        <f t="shared" ref="AD147:AD148" si="4">T147*X147</f>
        <v>0</v>
      </c>
      <c r="AE147" s="511"/>
      <c r="AF147" s="511"/>
      <c r="AG147" s="511"/>
      <c r="AH147" s="511"/>
      <c r="AI147" s="511"/>
      <c r="AJ147" s="508">
        <f t="shared" ref="AJ147:AJ148" si="5">AU147</f>
        <v>0</v>
      </c>
      <c r="AK147" s="508"/>
      <c r="AL147" s="508"/>
      <c r="AM147" s="508"/>
      <c r="AN147" s="508"/>
      <c r="AO147" s="511">
        <f t="shared" ref="AO147:AO148" si="6">AJ147*T147</f>
        <v>0</v>
      </c>
      <c r="AP147" s="511"/>
      <c r="AQ147" s="511"/>
      <c r="AR147" s="511"/>
      <c r="AS147" s="511"/>
      <c r="AV147" s="219"/>
      <c r="AX147" s="271"/>
      <c r="AY147" s="271"/>
      <c r="AZ147" s="271"/>
      <c r="BA147" s="271"/>
      <c r="BB147" s="271"/>
      <c r="BC147" s="271"/>
    </row>
    <row r="148" spans="1:76" hidden="1">
      <c r="A148" s="516">
        <v>8</v>
      </c>
      <c r="B148" s="516"/>
      <c r="C148" s="515" t="s">
        <v>637</v>
      </c>
      <c r="D148" s="515"/>
      <c r="E148" s="515"/>
      <c r="F148" s="515"/>
      <c r="G148" s="515"/>
      <c r="H148" s="515"/>
      <c r="I148" s="515"/>
      <c r="J148" s="515"/>
      <c r="K148" s="515"/>
      <c r="L148" s="515"/>
      <c r="M148" s="515"/>
      <c r="N148" s="515"/>
      <c r="O148" s="515"/>
      <c r="P148" s="515"/>
      <c r="Q148" s="515"/>
      <c r="R148" s="515"/>
      <c r="S148" s="515"/>
      <c r="T148" s="513">
        <f>'Расчет лесов'!B$15</f>
        <v>0</v>
      </c>
      <c r="U148" s="513"/>
      <c r="V148" s="513"/>
      <c r="W148" s="513"/>
      <c r="X148" s="514">
        <f>'Расчет лесов'!C$15</f>
        <v>150</v>
      </c>
      <c r="Y148" s="514"/>
      <c r="Z148" s="514"/>
      <c r="AA148" s="514"/>
      <c r="AB148" s="514"/>
      <c r="AC148" s="514"/>
      <c r="AD148" s="511">
        <f t="shared" si="4"/>
        <v>0</v>
      </c>
      <c r="AE148" s="511"/>
      <c r="AF148" s="511"/>
      <c r="AG148" s="511"/>
      <c r="AH148" s="511"/>
      <c r="AI148" s="511"/>
      <c r="AJ148" s="508">
        <f t="shared" si="5"/>
        <v>0</v>
      </c>
      <c r="AK148" s="508"/>
      <c r="AL148" s="508"/>
      <c r="AM148" s="508"/>
      <c r="AN148" s="508"/>
      <c r="AO148" s="511">
        <f t="shared" si="6"/>
        <v>0</v>
      </c>
      <c r="AP148" s="511"/>
      <c r="AQ148" s="511"/>
      <c r="AR148" s="511"/>
      <c r="AS148" s="511"/>
      <c r="AV148" s="219"/>
      <c r="AX148" s="271"/>
      <c r="AY148" s="271"/>
      <c r="AZ148" s="271"/>
      <c r="BA148" s="271"/>
      <c r="BB148" s="271"/>
      <c r="BC148" s="271"/>
    </row>
    <row r="149" spans="1:76">
      <c r="A149" s="557"/>
      <c r="B149" s="558"/>
      <c r="C149" s="557"/>
      <c r="D149" s="559"/>
      <c r="E149" s="559"/>
      <c r="F149" s="559"/>
      <c r="G149" s="559"/>
      <c r="H149" s="559"/>
      <c r="I149" s="559"/>
      <c r="J149" s="559"/>
      <c r="K149" s="559"/>
      <c r="L149" s="559"/>
      <c r="M149" s="559"/>
      <c r="N149" s="559"/>
      <c r="O149" s="559"/>
      <c r="P149" s="559"/>
      <c r="Q149" s="559"/>
      <c r="R149" s="559"/>
      <c r="S149" s="558"/>
      <c r="T149" s="554"/>
      <c r="U149" s="555"/>
      <c r="V149" s="555"/>
      <c r="W149" s="556"/>
      <c r="X149" s="552" t="s">
        <v>400</v>
      </c>
      <c r="Y149" s="552"/>
      <c r="Z149" s="552"/>
      <c r="AA149" s="552"/>
      <c r="AB149" s="552"/>
      <c r="AC149" s="552"/>
      <c r="AD149" s="553">
        <f>SUM(AD141:AI148)</f>
        <v>30440</v>
      </c>
      <c r="AE149" s="553"/>
      <c r="AF149" s="553"/>
      <c r="AG149" s="553"/>
      <c r="AH149" s="553"/>
      <c r="AI149" s="553"/>
      <c r="AJ149" s="509" t="s">
        <v>400</v>
      </c>
      <c r="AK149" s="509"/>
      <c r="AL149" s="509"/>
      <c r="AM149" s="509"/>
      <c r="AN149" s="509"/>
      <c r="AO149" s="512">
        <f>'Расчет лесов'!C3</f>
        <v>210</v>
      </c>
      <c r="AP149" s="512"/>
      <c r="AQ149" s="512"/>
      <c r="AR149" s="512"/>
      <c r="AS149" s="512"/>
      <c r="AU149" s="284">
        <f>SUM(AO141:AS146)</f>
        <v>209.6</v>
      </c>
    </row>
    <row r="150" spans="1:76">
      <c r="AV150" s="269">
        <f>'Расчет лесов'!C4</f>
        <v>30</v>
      </c>
    </row>
    <row r="151" spans="1:76">
      <c r="A151" s="560" t="s">
        <v>401</v>
      </c>
      <c r="B151" s="560"/>
      <c r="C151" s="560"/>
      <c r="D151" s="560"/>
      <c r="E151" s="560"/>
      <c r="F151" s="560"/>
      <c r="G151" s="560"/>
      <c r="H151" s="560"/>
      <c r="I151" s="560"/>
      <c r="J151" s="560"/>
      <c r="K151" s="560"/>
      <c r="L151" s="560"/>
      <c r="M151" s="560"/>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60"/>
      <c r="AQ151" s="560"/>
      <c r="AR151" s="560"/>
      <c r="AS151" s="560"/>
    </row>
    <row r="152" spans="1:76" ht="30.75" customHeight="1">
      <c r="B152" s="218"/>
      <c r="C152" s="543" t="str">
        <f>CONCATENATE(AU152," (",AW152,") за каждые сутки аренды",BX152,", срок аренды до ",AV152," дней")</f>
        <v>800 (Восемьсот рублей 00 копеек) за каждые сутки аренды с учетом 20% НДС, срок аренды до 14 дней</v>
      </c>
      <c r="D152" s="543"/>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43"/>
      <c r="AQ152" s="543"/>
      <c r="AR152" s="543"/>
      <c r="AS152" s="543"/>
      <c r="AU152" s="234">
        <v>800</v>
      </c>
      <c r="AV152" s="272">
        <f>IF(AV150&gt;=BC146,BB146,IF(AV150&gt;=BB146,BA146,IF(AV150&gt;=BA146,AZ146,IF(AV150&gt;=AZ146,AY146,IF(AV150&gt;=AY146,AX146,1)))))</f>
        <v>14</v>
      </c>
      <c r="AW152" s="194" t="str">
        <f>SUBSTITUTE(PROPER(INDEX(n_4,MID(TEXT(AU152,n0),1,1)+1)&amp;INDEX(n0x,MID(TEXT(AU152,n0),2,1)+1,MID(TEXT(AU152,n0),3,1)+1)&amp;IF(-MID(TEXT(AU152,n0),1,3),"миллиард"&amp;VLOOKUP(MID(TEXT(AU152,n0),3,1)*AND(MID(TEXT(AU152,n0),2,1)-1),мил,2),"")&amp;INDEX(n_4,MID(TEXT(AU152,n0),4,1)+1)&amp;INDEX(n0x,MID(TEXT(AU152,n0),5,1)+1,MID(TEXT(AU152,n0),6,1)+1)&amp;IF(-MID(TEXT(AU152,n0),4,3),"миллион"&amp;VLOOKUP(MID(TEXT(AU152,n0),6,1)*AND(MID(TEXT(AU152,n0),5,1)-1),мил,2),"")&amp;INDEX(n_4,MID(TEXT(AU152,n0),7,1)+1)&amp;INDEX(n1x,MID(TEXT(AU152,n0),8,1)+1,MID(TEXT(AU152,n0),9,1)+1)&amp;IF(-MID(TEXT(AU152,n0),7,3),VLOOKUP(MID(TEXT(AU152,n0),9,1)*AND(MID(TEXT(AU152,n0),8,1)-1),тыс,2),"")&amp;INDEX(n_4,MID(TEXT(AU152,n0),10,1)+1)&amp;INDEX(n0x,MID(TEXT(AU152,n0),11,1)+1,MID(TEXT(AU152,n0),12,1)+1)),"z"," ")&amp;IF(TRUNC(TEXT(AU152,n0)),"","Ноль ")&amp;"рубл"&amp;VLOOKUP(MOD(MAX(MOD(MID(TEXT(AU152,n0),11,2)-11,100),9),10),{0,"ь ";1,"я ";4,"ей "},2)&amp;RIGHT(TEXT(AU152,n0),2)&amp;" копе"&amp;VLOOKUP(MOD(MAX(MOD(RIGHT(TEXT(AU152,n0),2)-11,100),9),10),{0,"йка";1,"йки";4,"ек"},2)</f>
        <v>Восемьсот рублей 00 копеек</v>
      </c>
      <c r="BX152" s="93" t="str">
        <f>IF(AW20="с НДС 20%"," с учетом 20% НДС","")</f>
        <v xml:space="preserve"> с учетом 20% НДС</v>
      </c>
    </row>
    <row r="153" spans="1:76" ht="37.5" customHeight="1">
      <c r="B153" s="218"/>
      <c r="C153" s="543" t="str">
        <f>CONCATENATE(AU153," (",AW153,") за каждые сутки аренды",BX152,", срок аренды до ",AV153," дней")</f>
        <v>500 (Пятьсот рублей 00 копеек) за каждые сутки аренды с учетом 20% НДС, срок аренды до 30 дней</v>
      </c>
      <c r="D153" s="543"/>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43"/>
      <c r="AQ153" s="543"/>
      <c r="AR153" s="543"/>
      <c r="AS153" s="543"/>
      <c r="AU153" s="235">
        <v>500</v>
      </c>
      <c r="AV153" s="272">
        <f>IF(AV150&gt;=BC146,BC146,IF(AV150&gt;=BB146,BB146,IF(AV150&gt;=BA146,BA146,IF(AV150&gt;=AZ146,AZ146,IF(AV150&gt;=AY146,AY146,IF(AV150&gt;=AX146,AX146,1))))))</f>
        <v>30</v>
      </c>
      <c r="AW153" s="194" t="str">
        <f>SUBSTITUTE(PROPER(INDEX(n_4,MID(TEXT(AU153,n0),1,1)+1)&amp;INDEX(n0x,MID(TEXT(AU153,n0),2,1)+1,MID(TEXT(AU153,n0),3,1)+1)&amp;IF(-MID(TEXT(AU153,n0),1,3),"миллиард"&amp;VLOOKUP(MID(TEXT(AU153,n0),3,1)*AND(MID(TEXT(AU153,n0),2,1)-1),мил,2),"")&amp;INDEX(n_4,MID(TEXT(AU153,n0),4,1)+1)&amp;INDEX(n0x,MID(TEXT(AU153,n0),5,1)+1,MID(TEXT(AU153,n0),6,1)+1)&amp;IF(-MID(TEXT(AU153,n0),4,3),"миллион"&amp;VLOOKUP(MID(TEXT(AU153,n0),6,1)*AND(MID(TEXT(AU153,n0),5,1)-1),мил,2),"")&amp;INDEX(n_4,MID(TEXT(AU153,n0),7,1)+1)&amp;INDEX(n1x,MID(TEXT(AU153,n0),8,1)+1,MID(TEXT(AU153,n0),9,1)+1)&amp;IF(-MID(TEXT(AU153,n0),7,3),VLOOKUP(MID(TEXT(AU153,n0),9,1)*AND(MID(TEXT(AU153,n0),8,1)-1),тыс,2),"")&amp;INDEX(n_4,MID(TEXT(AU153,n0),10,1)+1)&amp;INDEX(n0x,MID(TEXT(AU153,n0),11,1)+1,MID(TEXT(AU153,n0),12,1)+1)),"z"," ")&amp;IF(TRUNC(TEXT(AU153,n0)),"","Ноль ")&amp;"рубл"&amp;VLOOKUP(MOD(MAX(MOD(MID(TEXT(AU153,n0),11,2)-11,100),9),10),{0,"ь ";1,"я ";4,"ей "},2)&amp;RIGHT(TEXT(AU153,n0),2)&amp;" копе"&amp;VLOOKUP(MOD(MAX(MOD(RIGHT(TEXT(AU153,n0),2)-11,100),9),10),{0,"йка";1,"йки";4,"ек"},2)</f>
        <v>Пятьсот рублей 00 копеек</v>
      </c>
    </row>
    <row r="154" spans="1:76" ht="30" customHeight="1">
      <c r="B154" s="218"/>
      <c r="C154" s="561" t="str">
        <f>CONCATENATE('Расчет лесов'!C3," (",AW21,") за каждые сутки аренды",BX152,", срок аренды от ",AV153," дней")</f>
        <v>210 (Двести десять рублей 00 копеек) за каждые сутки аренды с учетом 20% НДС, срок аренды от 30 дней</v>
      </c>
      <c r="D154" s="561"/>
      <c r="E154" s="561"/>
      <c r="F154" s="561"/>
      <c r="G154" s="561"/>
      <c r="H154" s="561"/>
      <c r="I154" s="561"/>
      <c r="J154" s="561"/>
      <c r="K154" s="561"/>
      <c r="L154" s="561"/>
      <c r="M154" s="561"/>
      <c r="N154" s="561"/>
      <c r="O154" s="561"/>
      <c r="P154" s="561"/>
      <c r="Q154" s="561"/>
      <c r="R154" s="561"/>
      <c r="S154" s="561"/>
      <c r="T154" s="561"/>
      <c r="U154" s="561"/>
      <c r="V154" s="561"/>
      <c r="W154" s="561"/>
      <c r="X154" s="561"/>
      <c r="Y154" s="561"/>
      <c r="Z154" s="561"/>
      <c r="AA154" s="561"/>
      <c r="AB154" s="561"/>
      <c r="AC154" s="561"/>
      <c r="AD154" s="561"/>
      <c r="AE154" s="561"/>
      <c r="AF154" s="561"/>
      <c r="AG154" s="561"/>
      <c r="AH154" s="561"/>
      <c r="AI154" s="561"/>
      <c r="AJ154" s="561"/>
      <c r="AK154" s="561"/>
      <c r="AL154" s="561"/>
      <c r="AM154" s="561"/>
      <c r="AN154" s="561"/>
      <c r="AO154" s="561"/>
      <c r="AP154" s="561"/>
      <c r="AQ154" s="561"/>
      <c r="AR154" s="561"/>
      <c r="AS154" s="561"/>
      <c r="AU154" s="276">
        <v>1</v>
      </c>
    </row>
    <row r="155" spans="1:76">
      <c r="A155" s="579" t="str">
        <f>CONCATENATE("3. Срок аренды составляет ",'Расчет лесов'!C4," суток с момента подписания акта приема-передачи оборудования")</f>
        <v>3. Срок аренды составляет 30 суток с момента подписания акта приема-передачи оборудования</v>
      </c>
      <c r="B155" s="579"/>
      <c r="C155" s="579"/>
      <c r="D155" s="579"/>
      <c r="E155" s="579"/>
      <c r="F155" s="579"/>
      <c r="G155" s="579"/>
      <c r="H155" s="579"/>
      <c r="I155" s="579"/>
      <c r="J155" s="579"/>
      <c r="K155" s="579"/>
      <c r="L155" s="579"/>
      <c r="M155" s="579"/>
      <c r="N155" s="579"/>
      <c r="O155" s="579"/>
      <c r="P155" s="579"/>
      <c r="Q155" s="579"/>
      <c r="R155" s="579"/>
      <c r="S155" s="579"/>
      <c r="T155" s="579"/>
      <c r="U155" s="579"/>
      <c r="V155" s="579"/>
      <c r="W155" s="579"/>
      <c r="X155" s="579"/>
      <c r="Y155" s="579"/>
      <c r="Z155" s="579"/>
      <c r="AA155" s="579"/>
      <c r="AB155" s="579"/>
      <c r="AC155" s="579"/>
      <c r="AD155" s="579"/>
      <c r="AE155" s="579"/>
      <c r="AF155" s="579"/>
      <c r="AG155" s="579"/>
      <c r="AH155" s="579"/>
      <c r="AI155" s="579"/>
      <c r="AJ155" s="579"/>
      <c r="AK155" s="579"/>
      <c r="AL155" s="579"/>
      <c r="AM155" s="579"/>
      <c r="AN155" s="579"/>
      <c r="AO155" s="579"/>
      <c r="AP155" s="579"/>
      <c r="AQ155" s="579"/>
      <c r="AR155" s="579"/>
      <c r="AS155" s="579"/>
      <c r="AU155" s="277">
        <f ca="1">TODAY()+AU154</f>
        <v>45016</v>
      </c>
      <c r="AV155" s="196">
        <f ca="1">AU155+'Расчет лесов'!C4</f>
        <v>45046</v>
      </c>
      <c r="AW155" s="196"/>
    </row>
    <row r="156" spans="1:76" ht="15.75" customHeight="1">
      <c r="A156" s="543" t="s">
        <v>437</v>
      </c>
      <c r="B156" s="543"/>
      <c r="C156" s="543"/>
      <c r="D156" s="543"/>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85">
        <f>'Расчет лесов'!D22</f>
        <v>6300</v>
      </c>
      <c r="AN156" s="585"/>
      <c r="AO156" s="585"/>
      <c r="AP156" s="585"/>
      <c r="AQ156" s="585"/>
      <c r="AR156" s="585"/>
      <c r="AS156" s="585"/>
    </row>
    <row r="157" spans="1:76">
      <c r="A157" s="562" t="s">
        <v>438</v>
      </c>
      <c r="B157" s="562"/>
      <c r="C157" s="562"/>
      <c r="D157" s="562"/>
      <c r="E157" s="562"/>
      <c r="F157" s="562"/>
      <c r="G157" s="562"/>
      <c r="H157" s="562"/>
      <c r="I157" s="562"/>
      <c r="J157" s="562"/>
      <c r="K157" s="562"/>
      <c r="L157" s="562"/>
      <c r="M157" s="562"/>
      <c r="N157" s="562"/>
      <c r="O157" s="562"/>
      <c r="P157" s="562"/>
      <c r="Q157" s="562"/>
      <c r="R157" s="562"/>
      <c r="S157" s="562"/>
      <c r="T157" s="562"/>
      <c r="U157" s="562"/>
      <c r="V157" s="562"/>
      <c r="W157" s="562"/>
      <c r="X157" s="562"/>
      <c r="Y157" s="562"/>
      <c r="Z157" s="562"/>
      <c r="AA157" s="562"/>
      <c r="AB157" s="562"/>
      <c r="AC157" s="562"/>
      <c r="AD157" s="562"/>
      <c r="AE157" s="562"/>
      <c r="AF157" s="562"/>
      <c r="AG157" s="562"/>
      <c r="AH157" s="562"/>
      <c r="AI157" s="562"/>
      <c r="AJ157" s="562"/>
      <c r="AK157" s="562"/>
      <c r="AL157" s="562"/>
      <c r="AM157" s="578">
        <f>'Расчет лесов'!D17</f>
        <v>3100</v>
      </c>
      <c r="AN157" s="578"/>
      <c r="AO157" s="578"/>
      <c r="AP157" s="578"/>
      <c r="AQ157" s="578"/>
      <c r="AR157" s="578"/>
      <c r="AS157" s="578"/>
    </row>
    <row r="158" spans="1:76">
      <c r="A158" s="564" t="str">
        <f>CONCATENATE("6.1. Стоимость доставки до адреса: ",ДляДоговора!B18,", составит ")</f>
        <v xml:space="preserve">6.1. Стоимость доставки до адреса: , составит </v>
      </c>
      <c r="B158" s="564"/>
      <c r="C158" s="564"/>
      <c r="D158" s="564"/>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c r="AA158" s="564"/>
      <c r="AB158" s="564"/>
      <c r="AC158" s="564"/>
      <c r="AD158" s="564"/>
      <c r="AE158" s="564"/>
      <c r="AF158" s="564"/>
      <c r="AG158" s="564"/>
      <c r="AH158" s="564"/>
      <c r="AI158" s="564"/>
      <c r="AJ158" s="564"/>
      <c r="AK158" s="564"/>
      <c r="AL158" s="564"/>
      <c r="AM158" s="563">
        <f>'Расчет лесов'!D18</f>
        <v>0</v>
      </c>
      <c r="AN158" s="563"/>
      <c r="AO158" s="563"/>
      <c r="AP158" s="563"/>
      <c r="AQ158" s="563"/>
      <c r="AR158" s="563"/>
      <c r="AS158" s="563"/>
    </row>
    <row r="159" spans="1:76">
      <c r="A159" s="564" t="str">
        <f>CONCATENATE("6.2. Стоимость вывоза с адреса: ",ДляДоговора!B18," , составит ")</f>
        <v xml:space="preserve">6.2. Стоимость вывоза с адреса:  , составит </v>
      </c>
      <c r="B159" s="564"/>
      <c r="C159" s="564"/>
      <c r="D159" s="564"/>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c r="AA159" s="564"/>
      <c r="AB159" s="564"/>
      <c r="AC159" s="564"/>
      <c r="AD159" s="564"/>
      <c r="AE159" s="564"/>
      <c r="AF159" s="564"/>
      <c r="AG159" s="564"/>
      <c r="AH159" s="564"/>
      <c r="AI159" s="564"/>
      <c r="AJ159" s="564"/>
      <c r="AK159" s="564"/>
      <c r="AL159" s="564"/>
      <c r="AM159" s="563">
        <f>'Расчет лесов'!D19</f>
        <v>0</v>
      </c>
      <c r="AN159" s="563"/>
      <c r="AO159" s="563"/>
      <c r="AP159" s="563"/>
      <c r="AQ159" s="563"/>
      <c r="AR159" s="563"/>
      <c r="AS159" s="563"/>
    </row>
    <row r="160" spans="1:76">
      <c r="A160" s="562" t="s">
        <v>539</v>
      </c>
      <c r="B160" s="562"/>
      <c r="C160" s="562"/>
      <c r="D160" s="562"/>
      <c r="E160" s="562"/>
      <c r="F160" s="562"/>
      <c r="G160" s="562"/>
      <c r="H160" s="562"/>
      <c r="I160" s="562"/>
      <c r="J160" s="562"/>
      <c r="K160" s="562"/>
      <c r="L160" s="562"/>
      <c r="M160" s="562"/>
      <c r="N160" s="562"/>
      <c r="O160" s="562"/>
      <c r="P160" s="562"/>
      <c r="Q160" s="562"/>
      <c r="R160" s="562"/>
      <c r="S160" s="562"/>
      <c r="T160" s="562"/>
      <c r="U160" s="562"/>
      <c r="V160" s="562"/>
      <c r="W160" s="562"/>
      <c r="X160" s="562"/>
      <c r="Y160" s="562"/>
      <c r="Z160" s="562"/>
      <c r="AA160" s="562"/>
      <c r="AB160" s="562"/>
      <c r="AC160" s="562"/>
      <c r="AD160" s="562"/>
      <c r="AE160" s="562"/>
      <c r="AF160" s="562"/>
      <c r="AG160" s="562"/>
      <c r="AH160" s="562"/>
      <c r="AI160" s="562"/>
      <c r="AJ160" s="242"/>
      <c r="AK160" s="242"/>
      <c r="AL160" s="242"/>
      <c r="AM160" s="563">
        <f>'Расчет лесов'!D24</f>
        <v>9400</v>
      </c>
      <c r="AN160" s="563"/>
      <c r="AO160" s="563"/>
      <c r="AP160" s="563"/>
      <c r="AQ160" s="563"/>
      <c r="AR160" s="563"/>
      <c r="AS160" s="563"/>
    </row>
    <row r="161" spans="1:45">
      <c r="A161" s="565" t="s">
        <v>540</v>
      </c>
      <c r="B161" s="565"/>
      <c r="C161" s="565"/>
      <c r="D161" s="565"/>
      <c r="E161" s="565"/>
      <c r="F161" s="565"/>
      <c r="G161" s="565"/>
      <c r="H161" s="565"/>
      <c r="I161" s="565"/>
      <c r="J161" s="565"/>
      <c r="K161" s="565"/>
      <c r="L161" s="565"/>
      <c r="M161" s="565"/>
      <c r="N161" s="565"/>
      <c r="O161" s="565"/>
      <c r="P161" s="565"/>
      <c r="Q161" s="565"/>
      <c r="R161" s="565"/>
      <c r="S161" s="565"/>
      <c r="T161" s="565"/>
      <c r="U161" s="565"/>
      <c r="V161" s="565"/>
      <c r="W161" s="565"/>
      <c r="X161" s="565"/>
      <c r="Y161" s="565"/>
      <c r="Z161" s="565"/>
      <c r="AA161" s="565"/>
      <c r="AB161" s="565"/>
      <c r="AC161" s="565"/>
      <c r="AD161" s="565"/>
      <c r="AE161" s="565"/>
      <c r="AF161" s="565"/>
      <c r="AG161" s="565"/>
      <c r="AH161" s="565"/>
      <c r="AI161" s="565"/>
      <c r="AJ161" s="565"/>
      <c r="AK161" s="565"/>
      <c r="AL161" s="565"/>
      <c r="AM161" s="565"/>
      <c r="AN161" s="565"/>
      <c r="AO161" s="565"/>
      <c r="AP161" s="565"/>
      <c r="AQ161" s="565"/>
      <c r="AR161" s="565"/>
      <c r="AS161" s="565"/>
    </row>
    <row r="162" spans="1:45" ht="30" customHeight="1">
      <c r="A162" s="564" t="s">
        <v>402</v>
      </c>
      <c r="B162" s="564"/>
      <c r="C162" s="564"/>
      <c r="D162" s="564"/>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c r="AA162" s="564"/>
      <c r="AB162" s="564"/>
      <c r="AC162" s="564"/>
      <c r="AD162" s="564"/>
      <c r="AE162" s="564"/>
      <c r="AF162" s="564"/>
      <c r="AG162" s="564"/>
      <c r="AH162" s="564"/>
      <c r="AI162" s="564"/>
      <c r="AJ162" s="564"/>
      <c r="AK162" s="564"/>
      <c r="AL162" s="564"/>
      <c r="AM162" s="564"/>
      <c r="AN162" s="564"/>
      <c r="AO162" s="564"/>
      <c r="AP162" s="564"/>
      <c r="AQ162" s="564"/>
      <c r="AR162" s="564"/>
      <c r="AS162" s="564"/>
    </row>
    <row r="163" spans="1:45" s="219" customFormat="1" ht="15"/>
    <row r="164" spans="1:45" s="219" customFormat="1" ht="15">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row>
    <row r="165" spans="1:45" s="219" customFormat="1" ht="15">
      <c r="A165" s="517" t="s">
        <v>403</v>
      </c>
      <c r="B165" s="517"/>
      <c r="C165" s="517"/>
      <c r="D165" s="517"/>
      <c r="E165" s="517"/>
      <c r="F165" s="517"/>
      <c r="G165" s="517"/>
      <c r="H165" s="517"/>
      <c r="I165" s="517"/>
      <c r="J165" s="517"/>
      <c r="K165" s="517"/>
      <c r="L165" s="517"/>
      <c r="M165" s="517"/>
      <c r="N165" s="517"/>
      <c r="O165" s="517"/>
      <c r="P165" s="517"/>
      <c r="Q165" s="517"/>
      <c r="R165" s="517"/>
      <c r="S165" s="517"/>
      <c r="T165" s="517"/>
      <c r="U165" s="517"/>
      <c r="V165" s="517"/>
      <c r="W165" s="517"/>
      <c r="X165" s="517"/>
      <c r="Y165" s="517"/>
      <c r="Z165" s="517"/>
      <c r="AA165" s="517"/>
      <c r="AB165" s="517"/>
      <c r="AC165" s="517"/>
      <c r="AD165" s="517"/>
      <c r="AE165" s="517"/>
      <c r="AF165" s="517"/>
      <c r="AG165" s="517"/>
      <c r="AH165" s="517"/>
      <c r="AI165" s="517"/>
      <c r="AJ165" s="517"/>
      <c r="AK165" s="517"/>
      <c r="AL165" s="517"/>
      <c r="AM165" s="517"/>
      <c r="AN165" s="517"/>
      <c r="AO165" s="517"/>
      <c r="AP165" s="517"/>
      <c r="AQ165" s="517"/>
      <c r="AR165" s="517"/>
      <c r="AS165" s="517"/>
    </row>
    <row r="166" spans="1:45" s="219" customFormat="1">
      <c r="B166" s="94" t="s">
        <v>116</v>
      </c>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4" t="s">
        <v>117</v>
      </c>
      <c r="AG166" s="93"/>
      <c r="AH166" s="93"/>
      <c r="AI166" s="93"/>
      <c r="AJ166" s="93"/>
      <c r="AK166" s="93"/>
      <c r="AL166" s="93"/>
      <c r="AM166" s="93"/>
      <c r="AN166" s="93"/>
      <c r="AO166" s="93"/>
      <c r="AP166" s="93"/>
    </row>
    <row r="167" spans="1:45" s="219" customFormat="1" ht="5.25" customHeight="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row>
    <row r="168" spans="1:45" s="219" customFormat="1">
      <c r="B168" s="97"/>
      <c r="C168" s="97"/>
      <c r="D168" s="97"/>
      <c r="E168" s="97"/>
      <c r="F168" s="97"/>
      <c r="G168" s="97"/>
      <c r="H168" s="97"/>
      <c r="I168" s="97"/>
      <c r="J168" s="97"/>
      <c r="K168" s="97"/>
      <c r="L168" s="97"/>
      <c r="M168" s="93" t="str">
        <f>BX4</f>
        <v>А.П. Выборных</v>
      </c>
      <c r="N168" s="93"/>
      <c r="O168" s="93"/>
      <c r="P168" s="93"/>
      <c r="Q168" s="93"/>
      <c r="R168" s="93"/>
      <c r="S168" s="93"/>
      <c r="T168" s="93"/>
      <c r="U168" s="93"/>
      <c r="V168" s="93"/>
      <c r="W168" s="93"/>
      <c r="X168" s="93"/>
      <c r="Y168" s="93"/>
      <c r="Z168" s="93"/>
      <c r="AA168" s="93"/>
      <c r="AB168" s="93"/>
      <c r="AC168" s="93"/>
      <c r="AD168" s="93"/>
      <c r="AE168" s="93"/>
      <c r="AF168" s="97"/>
      <c r="AG168" s="97"/>
      <c r="AH168" s="97"/>
      <c r="AI168" s="97"/>
      <c r="AJ168" s="97"/>
      <c r="AK168" s="97"/>
      <c r="AL168" s="97"/>
      <c r="AM168" s="97"/>
      <c r="AN168" s="97"/>
      <c r="AO168" s="97"/>
      <c r="AP168" s="97"/>
    </row>
    <row r="169" spans="1:45" s="219" customFormat="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row>
    <row r="170" spans="1:45">
      <c r="B170" s="94" t="s">
        <v>118</v>
      </c>
      <c r="AF170" s="94" t="s">
        <v>118</v>
      </c>
    </row>
    <row r="171" spans="1:45">
      <c r="A171" s="544" t="str">
        <f ca="1">CONCATENATE("Приложение №2 к договору аренды оборудования №",ДляДоговора!B2)</f>
        <v>Приложение №2 к договору аренды оборудования №30/03-А(23)</v>
      </c>
      <c r="B171" s="544"/>
      <c r="C171" s="544"/>
      <c r="D171" s="544"/>
      <c r="E171" s="544"/>
      <c r="F171" s="544"/>
      <c r="G171" s="544"/>
      <c r="H171" s="544"/>
      <c r="I171" s="544"/>
      <c r="J171" s="544"/>
      <c r="K171" s="544"/>
      <c r="L171" s="544"/>
      <c r="M171" s="544"/>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44"/>
      <c r="AQ171" s="544"/>
      <c r="AR171" s="544"/>
      <c r="AS171" s="544"/>
    </row>
    <row r="172" spans="1:45">
      <c r="AL172" s="197" t="str">
        <f ca="1">CONCATENATE("от ",ДляДоговора!B3)</f>
        <v>от 30 марта 2023г.</v>
      </c>
    </row>
    <row r="173" spans="1:45">
      <c r="V173" s="88"/>
    </row>
    <row r="174" spans="1:45">
      <c r="A174" s="545" t="str">
        <f>CONCATENATE("АКТ №",AV132," ПРИЕМА-ПЕРЕДАЧИ ОБОРУДОВАНИЯ В АРЕНДУ")</f>
        <v>АКТ №1 ПРИЕМА-ПЕРЕДАЧИ ОБОРУДОВАНИЯ В АРЕНДУ</v>
      </c>
      <c r="B174" s="545"/>
      <c r="C174" s="545"/>
      <c r="D174" s="545"/>
      <c r="E174" s="545"/>
      <c r="F174" s="545"/>
      <c r="G174" s="545"/>
      <c r="H174" s="545"/>
      <c r="I174" s="545"/>
      <c r="J174" s="545"/>
      <c r="K174" s="545"/>
      <c r="L174" s="545"/>
      <c r="M174" s="545"/>
      <c r="N174" s="545"/>
      <c r="O174" s="545"/>
      <c r="P174" s="545"/>
      <c r="Q174" s="545"/>
      <c r="R174" s="545"/>
      <c r="S174" s="545"/>
      <c r="T174" s="545"/>
      <c r="U174" s="545"/>
      <c r="V174" s="545"/>
      <c r="W174" s="545"/>
      <c r="X174" s="545"/>
      <c r="Y174" s="545"/>
      <c r="Z174" s="545"/>
      <c r="AA174" s="545"/>
      <c r="AB174" s="545"/>
      <c r="AC174" s="545"/>
      <c r="AD174" s="545"/>
      <c r="AE174" s="545"/>
      <c r="AF174" s="545"/>
      <c r="AG174" s="545"/>
      <c r="AH174" s="545"/>
      <c r="AI174" s="545"/>
      <c r="AJ174" s="545"/>
      <c r="AK174" s="545"/>
      <c r="AL174" s="545"/>
      <c r="AM174" s="545"/>
      <c r="AN174" s="545"/>
      <c r="AO174" s="545"/>
      <c r="AP174" s="545"/>
      <c r="AQ174" s="545"/>
      <c r="AR174" s="545"/>
      <c r="AS174" s="545"/>
    </row>
    <row r="175" spans="1:45">
      <c r="A175" s="216"/>
      <c r="B175" s="216"/>
      <c r="C175" s="216"/>
      <c r="D175" s="216"/>
      <c r="E175" s="216"/>
      <c r="F175" s="216"/>
      <c r="G175" s="216"/>
      <c r="H175" s="216"/>
      <c r="I175" s="216"/>
      <c r="J175" s="216"/>
      <c r="K175" s="216"/>
      <c r="L175" s="216"/>
      <c r="M175" s="216"/>
      <c r="N175" s="216"/>
      <c r="O175" s="216"/>
      <c r="P175" s="216"/>
      <c r="Q175" s="216"/>
      <c r="R175" s="216"/>
      <c r="S175" s="216"/>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216"/>
      <c r="AP175" s="216"/>
      <c r="AQ175" s="216"/>
      <c r="AR175" s="216"/>
      <c r="AS175" s="216"/>
    </row>
    <row r="176" spans="1:45">
      <c r="A176" s="94" t="str">
        <f>ДляДоговора!B22</f>
        <v>г. Екатеринбург</v>
      </c>
      <c r="AH176" s="93" t="str">
        <f ca="1">CONCATENATE("«_____» _________ ",ДляДоговора!E4,"г.")</f>
        <v>«_____» _________ 2023г.</v>
      </c>
    </row>
    <row r="178" spans="1:46" ht="72.75" customHeight="1">
      <c r="A178" s="546" t="str">
        <f>CONCATENATE("ООО «УПСК», именуемое в дальнейшем «Арендодатель», в лице ",BX3," действующего на основании Устава, с одной стороны, и ",ДляДоговора!B4,", именуемое в дальнейшем «Арендатор», в лице ",ДляДоговора!B5," ",ДляДоговора!B6,", действующего на основании ",ДляДоговора!B7,ДляДоговора!B8,", с другой стороны, составили настоящий Акт приема-передачи о нижеследующем:")</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составили настоящий Акт приема-передачи о нижеследующем:</v>
      </c>
      <c r="B178" s="546"/>
      <c r="C178" s="546"/>
      <c r="D178" s="546"/>
      <c r="E178" s="546"/>
      <c r="F178" s="546"/>
      <c r="G178" s="546"/>
      <c r="H178" s="546"/>
      <c r="I178" s="546"/>
      <c r="J178" s="546"/>
      <c r="K178" s="546"/>
      <c r="L178" s="546"/>
      <c r="M178" s="546"/>
      <c r="N178" s="546"/>
      <c r="O178" s="546"/>
      <c r="P178" s="546"/>
      <c r="Q178" s="546"/>
      <c r="R178" s="546"/>
      <c r="S178" s="546"/>
      <c r="T178" s="546"/>
      <c r="U178" s="546"/>
      <c r="V178" s="546"/>
      <c r="W178" s="546"/>
      <c r="X178" s="546"/>
      <c r="Y178" s="546"/>
      <c r="Z178" s="546"/>
      <c r="AA178" s="546"/>
      <c r="AB178" s="546"/>
      <c r="AC178" s="546"/>
      <c r="AD178" s="546"/>
      <c r="AE178" s="546"/>
      <c r="AF178" s="546"/>
      <c r="AG178" s="546"/>
      <c r="AH178" s="546"/>
      <c r="AI178" s="546"/>
      <c r="AJ178" s="546"/>
      <c r="AK178" s="546"/>
      <c r="AL178" s="546"/>
      <c r="AM178" s="546"/>
      <c r="AN178" s="546"/>
      <c r="AO178" s="546"/>
      <c r="AP178" s="546"/>
      <c r="AQ178" s="546"/>
      <c r="AR178" s="546"/>
      <c r="AS178" s="546"/>
    </row>
    <row r="179" spans="1:46" ht="47.25" customHeight="1">
      <c r="A179" s="546" t="str">
        <f ca="1">CONCATENATE("1. В соответствии с заключенным Сторонами Договором аренды оборудования №",ДляДоговора!B2," от ",ДляДоговора!B3," Арендодатель передал во временное владение и пользование (аренду) Арендатору, а Арендатор принял имущество в следующем составе, комплектности, количестве и стоимостью:")</f>
        <v>1. В соответствии с заключенным Сторонами Договором аренды оборудования №30/03-А(23) от 30 марта 2023г. Арендодатель передал во временное владение и пользование (аренду) Арендатору, а Арендатор принял имущество в следующем составе, комплектности, количестве и стоимостью:</v>
      </c>
      <c r="B179" s="546"/>
      <c r="C179" s="546"/>
      <c r="D179" s="546"/>
      <c r="E179" s="546"/>
      <c r="F179" s="546"/>
      <c r="G179" s="546"/>
      <c r="H179" s="546"/>
      <c r="I179" s="546"/>
      <c r="J179" s="546"/>
      <c r="K179" s="546"/>
      <c r="L179" s="546"/>
      <c r="M179" s="546"/>
      <c r="N179" s="546"/>
      <c r="O179" s="546"/>
      <c r="P179" s="546"/>
      <c r="Q179" s="546"/>
      <c r="R179" s="546"/>
      <c r="S179" s="546"/>
      <c r="T179" s="546"/>
      <c r="U179" s="546"/>
      <c r="V179" s="546"/>
      <c r="W179" s="546"/>
      <c r="X179" s="546"/>
      <c r="Y179" s="546"/>
      <c r="Z179" s="546"/>
      <c r="AA179" s="546"/>
      <c r="AB179" s="546"/>
      <c r="AC179" s="546"/>
      <c r="AD179" s="546"/>
      <c r="AE179" s="546"/>
      <c r="AF179" s="546"/>
      <c r="AG179" s="546"/>
      <c r="AH179" s="546"/>
      <c r="AI179" s="546"/>
      <c r="AJ179" s="546"/>
      <c r="AK179" s="546"/>
      <c r="AL179" s="546"/>
      <c r="AM179" s="546"/>
      <c r="AN179" s="546"/>
      <c r="AO179" s="546"/>
      <c r="AP179" s="546"/>
      <c r="AQ179" s="546"/>
      <c r="AR179" s="546"/>
      <c r="AS179" s="546"/>
      <c r="AT179" s="222"/>
    </row>
    <row r="180" spans="1:46">
      <c r="A180" s="217"/>
      <c r="B180" s="217"/>
      <c r="C180" s="217"/>
      <c r="D180" s="217"/>
      <c r="E180" s="217"/>
      <c r="F180" s="217"/>
      <c r="G180" s="217"/>
      <c r="H180" s="217"/>
      <c r="I180" s="217"/>
      <c r="J180" s="217"/>
      <c r="K180" s="217"/>
      <c r="L180" s="217"/>
      <c r="M180" s="217"/>
      <c r="N180" s="217"/>
      <c r="O180" s="217"/>
      <c r="P180" s="217"/>
      <c r="Q180" s="217"/>
      <c r="R180" s="217"/>
      <c r="S180" s="217"/>
      <c r="T180" s="217"/>
      <c r="U180" s="217"/>
      <c r="V180" s="217"/>
      <c r="W180" s="217"/>
      <c r="X180" s="217"/>
      <c r="Y180" s="217"/>
      <c r="Z180" s="217"/>
      <c r="AA180" s="217"/>
      <c r="AB180" s="217"/>
      <c r="AC180" s="217"/>
      <c r="AD180" s="217"/>
      <c r="AE180" s="217"/>
      <c r="AF180" s="217"/>
      <c r="AG180" s="217"/>
      <c r="AH180" s="217"/>
      <c r="AI180" s="217"/>
      <c r="AJ180" s="217"/>
      <c r="AK180" s="217"/>
      <c r="AL180" s="217"/>
      <c r="AM180" s="217"/>
      <c r="AN180" s="217"/>
      <c r="AO180" s="217"/>
      <c r="AP180" s="217"/>
      <c r="AQ180" s="217"/>
      <c r="AR180" s="217"/>
      <c r="AS180" s="217"/>
      <c r="AT180" s="217"/>
    </row>
    <row r="181" spans="1:46" ht="30" customHeight="1">
      <c r="A181" s="510" t="s">
        <v>121</v>
      </c>
      <c r="B181" s="510"/>
      <c r="C181" s="510"/>
      <c r="D181" s="510"/>
      <c r="E181" s="510" t="s">
        <v>31</v>
      </c>
      <c r="F181" s="510"/>
      <c r="G181" s="510"/>
      <c r="H181" s="510"/>
      <c r="I181" s="510"/>
      <c r="J181" s="510"/>
      <c r="K181" s="510"/>
      <c r="L181" s="510"/>
      <c r="M181" s="510"/>
      <c r="N181" s="510"/>
      <c r="O181" s="510"/>
      <c r="P181" s="510"/>
      <c r="Q181" s="510"/>
      <c r="R181" s="510"/>
      <c r="S181" s="510"/>
      <c r="T181" s="510"/>
      <c r="U181" s="510"/>
      <c r="V181" s="510"/>
      <c r="W181" s="510"/>
      <c r="X181" s="510"/>
      <c r="Y181" s="507" t="s">
        <v>123</v>
      </c>
      <c r="Z181" s="507"/>
      <c r="AA181" s="507"/>
      <c r="AB181" s="507"/>
      <c r="AC181" s="507"/>
      <c r="AD181" s="507"/>
      <c r="AE181" s="507"/>
      <c r="AF181" s="507" t="s">
        <v>122</v>
      </c>
      <c r="AG181" s="507"/>
      <c r="AH181" s="507"/>
      <c r="AI181" s="507"/>
      <c r="AJ181" s="507"/>
      <c r="AK181" s="507"/>
      <c r="AL181" s="507"/>
      <c r="AM181" s="510" t="s">
        <v>34</v>
      </c>
      <c r="AN181" s="510"/>
      <c r="AO181" s="510"/>
      <c r="AP181" s="510"/>
      <c r="AQ181" s="510"/>
      <c r="AR181" s="510"/>
      <c r="AS181" s="510"/>
    </row>
    <row r="182" spans="1:46">
      <c r="A182" s="516">
        <v>1</v>
      </c>
      <c r="B182" s="516"/>
      <c r="C182" s="516"/>
      <c r="D182" s="516"/>
      <c r="E182" s="515" t="s">
        <v>124</v>
      </c>
      <c r="F182" s="515"/>
      <c r="G182" s="515"/>
      <c r="H182" s="515"/>
      <c r="I182" s="515"/>
      <c r="J182" s="515"/>
      <c r="K182" s="515"/>
      <c r="L182" s="515"/>
      <c r="M182" s="515"/>
      <c r="N182" s="515"/>
      <c r="O182" s="515"/>
      <c r="P182" s="515"/>
      <c r="Q182" s="515"/>
      <c r="R182" s="515"/>
      <c r="S182" s="515"/>
      <c r="T182" s="515"/>
      <c r="U182" s="515"/>
      <c r="V182" s="515"/>
      <c r="W182" s="515"/>
      <c r="X182" s="515"/>
      <c r="Y182" s="516">
        <f>'Расчет лесов'!B$8</f>
        <v>4</v>
      </c>
      <c r="Z182" s="516"/>
      <c r="AA182" s="516"/>
      <c r="AB182" s="516"/>
      <c r="AC182" s="516"/>
      <c r="AD182" s="516"/>
      <c r="AE182" s="516"/>
      <c r="AF182" s="550">
        <f>'Расчет лесов'!C$8</f>
        <v>1400</v>
      </c>
      <c r="AG182" s="550"/>
      <c r="AH182" s="550"/>
      <c r="AI182" s="550"/>
      <c r="AJ182" s="550"/>
      <c r="AK182" s="550"/>
      <c r="AL182" s="550"/>
      <c r="AM182" s="551">
        <f t="shared" ref="AM182:AM187" si="7">Y182*AF182</f>
        <v>5600</v>
      </c>
      <c r="AN182" s="551"/>
      <c r="AO182" s="551"/>
      <c r="AP182" s="551"/>
      <c r="AQ182" s="551"/>
      <c r="AR182" s="551"/>
      <c r="AS182" s="551"/>
    </row>
    <row r="183" spans="1:46">
      <c r="A183" s="516">
        <v>2</v>
      </c>
      <c r="B183" s="516"/>
      <c r="C183" s="516"/>
      <c r="D183" s="516"/>
      <c r="E183" s="515" t="s">
        <v>125</v>
      </c>
      <c r="F183" s="515"/>
      <c r="G183" s="515"/>
      <c r="H183" s="515"/>
      <c r="I183" s="515"/>
      <c r="J183" s="515"/>
      <c r="K183" s="515"/>
      <c r="L183" s="515"/>
      <c r="M183" s="515"/>
      <c r="N183" s="515"/>
      <c r="O183" s="515"/>
      <c r="P183" s="515"/>
      <c r="Q183" s="515"/>
      <c r="R183" s="515"/>
      <c r="S183" s="515"/>
      <c r="T183" s="515"/>
      <c r="U183" s="515"/>
      <c r="V183" s="515"/>
      <c r="W183" s="515"/>
      <c r="X183" s="515"/>
      <c r="Y183" s="516">
        <f>'Расчет лесов'!B$9</f>
        <v>4</v>
      </c>
      <c r="Z183" s="516"/>
      <c r="AA183" s="516"/>
      <c r="AB183" s="516"/>
      <c r="AC183" s="516"/>
      <c r="AD183" s="516"/>
      <c r="AE183" s="516"/>
      <c r="AF183" s="550">
        <f>'Расчет лесов'!C$9</f>
        <v>1670</v>
      </c>
      <c r="AG183" s="550"/>
      <c r="AH183" s="550"/>
      <c r="AI183" s="550"/>
      <c r="AJ183" s="550"/>
      <c r="AK183" s="550"/>
      <c r="AL183" s="550"/>
      <c r="AM183" s="551">
        <f t="shared" si="7"/>
        <v>6680</v>
      </c>
      <c r="AN183" s="551"/>
      <c r="AO183" s="551"/>
      <c r="AP183" s="551"/>
      <c r="AQ183" s="551"/>
      <c r="AR183" s="551"/>
      <c r="AS183" s="551"/>
    </row>
    <row r="184" spans="1:46">
      <c r="A184" s="516">
        <v>3</v>
      </c>
      <c r="B184" s="516"/>
      <c r="C184" s="516"/>
      <c r="D184" s="516"/>
      <c r="E184" s="515" t="s">
        <v>126</v>
      </c>
      <c r="F184" s="515"/>
      <c r="G184" s="515"/>
      <c r="H184" s="515"/>
      <c r="I184" s="515"/>
      <c r="J184" s="515"/>
      <c r="K184" s="515"/>
      <c r="L184" s="515"/>
      <c r="M184" s="515"/>
      <c r="N184" s="515"/>
      <c r="O184" s="515"/>
      <c r="P184" s="515"/>
      <c r="Q184" s="515"/>
      <c r="R184" s="515"/>
      <c r="S184" s="515"/>
      <c r="T184" s="515"/>
      <c r="U184" s="515"/>
      <c r="V184" s="515"/>
      <c r="W184" s="515"/>
      <c r="X184" s="515"/>
      <c r="Y184" s="516">
        <f>'Расчет лесов'!B$10</f>
        <v>4</v>
      </c>
      <c r="Z184" s="516"/>
      <c r="AA184" s="516"/>
      <c r="AB184" s="516"/>
      <c r="AC184" s="516"/>
      <c r="AD184" s="516"/>
      <c r="AE184" s="516"/>
      <c r="AF184" s="550">
        <f>'Расчет лесов'!C$10</f>
        <v>630</v>
      </c>
      <c r="AG184" s="550"/>
      <c r="AH184" s="550"/>
      <c r="AI184" s="550"/>
      <c r="AJ184" s="550"/>
      <c r="AK184" s="550"/>
      <c r="AL184" s="550"/>
      <c r="AM184" s="551">
        <f t="shared" si="7"/>
        <v>2520</v>
      </c>
      <c r="AN184" s="551"/>
      <c r="AO184" s="551"/>
      <c r="AP184" s="551"/>
      <c r="AQ184" s="551"/>
      <c r="AR184" s="551"/>
      <c r="AS184" s="551"/>
    </row>
    <row r="185" spans="1:46">
      <c r="A185" s="516">
        <v>4</v>
      </c>
      <c r="B185" s="516"/>
      <c r="C185" s="516"/>
      <c r="D185" s="516"/>
      <c r="E185" s="515" t="s">
        <v>127</v>
      </c>
      <c r="F185" s="515"/>
      <c r="G185" s="515"/>
      <c r="H185" s="515"/>
      <c r="I185" s="515"/>
      <c r="J185" s="515"/>
      <c r="K185" s="515"/>
      <c r="L185" s="515"/>
      <c r="M185" s="515"/>
      <c r="N185" s="515"/>
      <c r="O185" s="515"/>
      <c r="P185" s="515"/>
      <c r="Q185" s="515"/>
      <c r="R185" s="515"/>
      <c r="S185" s="515"/>
      <c r="T185" s="515"/>
      <c r="U185" s="515"/>
      <c r="V185" s="515"/>
      <c r="W185" s="515"/>
      <c r="X185" s="515"/>
      <c r="Y185" s="516">
        <f>'Расчет лесов'!B$11</f>
        <v>4</v>
      </c>
      <c r="Z185" s="516"/>
      <c r="AA185" s="516"/>
      <c r="AB185" s="516"/>
      <c r="AC185" s="516"/>
      <c r="AD185" s="516"/>
      <c r="AE185" s="516"/>
      <c r="AF185" s="550">
        <f>'Расчет лесов'!C$11</f>
        <v>320</v>
      </c>
      <c r="AG185" s="550"/>
      <c r="AH185" s="550"/>
      <c r="AI185" s="550"/>
      <c r="AJ185" s="550"/>
      <c r="AK185" s="550"/>
      <c r="AL185" s="550"/>
      <c r="AM185" s="551">
        <f t="shared" si="7"/>
        <v>1280</v>
      </c>
      <c r="AN185" s="551"/>
      <c r="AO185" s="551"/>
      <c r="AP185" s="551"/>
      <c r="AQ185" s="551"/>
      <c r="AR185" s="551"/>
      <c r="AS185" s="551"/>
    </row>
    <row r="186" spans="1:46">
      <c r="A186" s="516">
        <v>5</v>
      </c>
      <c r="B186" s="516"/>
      <c r="C186" s="516"/>
      <c r="D186" s="516"/>
      <c r="E186" s="515" t="s">
        <v>128</v>
      </c>
      <c r="F186" s="515"/>
      <c r="G186" s="515"/>
      <c r="H186" s="515"/>
      <c r="I186" s="515"/>
      <c r="J186" s="515"/>
      <c r="K186" s="515"/>
      <c r="L186" s="515"/>
      <c r="M186" s="515"/>
      <c r="N186" s="515"/>
      <c r="O186" s="515"/>
      <c r="P186" s="515"/>
      <c r="Q186" s="515"/>
      <c r="R186" s="515"/>
      <c r="S186" s="515"/>
      <c r="T186" s="515"/>
      <c r="U186" s="515"/>
      <c r="V186" s="515"/>
      <c r="W186" s="515"/>
      <c r="X186" s="515"/>
      <c r="Y186" s="516">
        <f>'Расчет лесов'!B$12</f>
        <v>12</v>
      </c>
      <c r="Z186" s="516"/>
      <c r="AA186" s="516"/>
      <c r="AB186" s="516"/>
      <c r="AC186" s="516"/>
      <c r="AD186" s="516"/>
      <c r="AE186" s="516"/>
      <c r="AF186" s="550">
        <f>'Расчет лесов'!C$12</f>
        <v>450</v>
      </c>
      <c r="AG186" s="550"/>
      <c r="AH186" s="550"/>
      <c r="AI186" s="550"/>
      <c r="AJ186" s="550"/>
      <c r="AK186" s="550"/>
      <c r="AL186" s="550"/>
      <c r="AM186" s="551">
        <f t="shared" si="7"/>
        <v>5400</v>
      </c>
      <c r="AN186" s="551"/>
      <c r="AO186" s="551"/>
      <c r="AP186" s="551"/>
      <c r="AQ186" s="551"/>
      <c r="AR186" s="551"/>
      <c r="AS186" s="551"/>
    </row>
    <row r="187" spans="1:46">
      <c r="A187" s="516">
        <v>6</v>
      </c>
      <c r="B187" s="516"/>
      <c r="C187" s="516"/>
      <c r="D187" s="516"/>
      <c r="E187" s="515" t="str">
        <f>C146</f>
        <v>Ригель для настила</v>
      </c>
      <c r="F187" s="515"/>
      <c r="G187" s="515"/>
      <c r="H187" s="515"/>
      <c r="I187" s="515"/>
      <c r="J187" s="515"/>
      <c r="K187" s="515"/>
      <c r="L187" s="515"/>
      <c r="M187" s="515"/>
      <c r="N187" s="515"/>
      <c r="O187" s="515"/>
      <c r="P187" s="515"/>
      <c r="Q187" s="515"/>
      <c r="R187" s="515"/>
      <c r="S187" s="515"/>
      <c r="T187" s="515"/>
      <c r="U187" s="515"/>
      <c r="V187" s="515"/>
      <c r="W187" s="515"/>
      <c r="X187" s="515"/>
      <c r="Y187" s="516">
        <f>'Расчет лесов'!B$13</f>
        <v>8</v>
      </c>
      <c r="Z187" s="516"/>
      <c r="AA187" s="516"/>
      <c r="AB187" s="516"/>
      <c r="AC187" s="516"/>
      <c r="AD187" s="516"/>
      <c r="AE187" s="516"/>
      <c r="AF187" s="550">
        <f>'Расчет лесов'!C$13</f>
        <v>1120</v>
      </c>
      <c r="AG187" s="550"/>
      <c r="AH187" s="550"/>
      <c r="AI187" s="550"/>
      <c r="AJ187" s="550"/>
      <c r="AK187" s="550"/>
      <c r="AL187" s="550"/>
      <c r="AM187" s="551">
        <f t="shared" si="7"/>
        <v>8960</v>
      </c>
      <c r="AN187" s="551"/>
      <c r="AO187" s="551"/>
      <c r="AP187" s="551"/>
      <c r="AQ187" s="551"/>
      <c r="AR187" s="551"/>
      <c r="AS187" s="551"/>
    </row>
    <row r="188" spans="1:46" hidden="1">
      <c r="A188" s="516">
        <v>7</v>
      </c>
      <c r="B188" s="516"/>
      <c r="C188" s="516"/>
      <c r="D188" s="516"/>
      <c r="E188" s="515" t="str">
        <f t="shared" ref="E188:E189" si="8">C147</f>
        <v>Кронштейн</v>
      </c>
      <c r="F188" s="515"/>
      <c r="G188" s="515"/>
      <c r="H188" s="515"/>
      <c r="I188" s="515"/>
      <c r="J188" s="515"/>
      <c r="K188" s="515"/>
      <c r="L188" s="515"/>
      <c r="M188" s="515"/>
      <c r="N188" s="515"/>
      <c r="O188" s="515"/>
      <c r="P188" s="515"/>
      <c r="Q188" s="515"/>
      <c r="R188" s="515"/>
      <c r="S188" s="515"/>
      <c r="T188" s="515"/>
      <c r="U188" s="515"/>
      <c r="V188" s="515"/>
      <c r="W188" s="515"/>
      <c r="X188" s="515"/>
      <c r="Y188" s="516">
        <f>'Расчет лесов'!B$14</f>
        <v>0</v>
      </c>
      <c r="Z188" s="516"/>
      <c r="AA188" s="516"/>
      <c r="AB188" s="516"/>
      <c r="AC188" s="516"/>
      <c r="AD188" s="516"/>
      <c r="AE188" s="516"/>
      <c r="AF188" s="550">
        <f>'Расчет лесов'!C$14</f>
        <v>200</v>
      </c>
      <c r="AG188" s="550"/>
      <c r="AH188" s="550"/>
      <c r="AI188" s="550"/>
      <c r="AJ188" s="550"/>
      <c r="AK188" s="550"/>
      <c r="AL188" s="550"/>
      <c r="AM188" s="551">
        <f t="shared" ref="AM188:AM189" si="9">Y188*AF188</f>
        <v>0</v>
      </c>
      <c r="AN188" s="551"/>
      <c r="AO188" s="551"/>
      <c r="AP188" s="551"/>
      <c r="AQ188" s="551"/>
      <c r="AR188" s="551"/>
      <c r="AS188" s="551"/>
    </row>
    <row r="189" spans="1:46" hidden="1">
      <c r="A189" s="516">
        <v>8</v>
      </c>
      <c r="B189" s="516"/>
      <c r="C189" s="516"/>
      <c r="D189" s="516"/>
      <c r="E189" s="515" t="str">
        <f t="shared" si="8"/>
        <v>Башмак</v>
      </c>
      <c r="F189" s="515"/>
      <c r="G189" s="515"/>
      <c r="H189" s="515"/>
      <c r="I189" s="515"/>
      <c r="J189" s="515"/>
      <c r="K189" s="515"/>
      <c r="L189" s="515"/>
      <c r="M189" s="515"/>
      <c r="N189" s="515"/>
      <c r="O189" s="515"/>
      <c r="P189" s="515"/>
      <c r="Q189" s="515"/>
      <c r="R189" s="515"/>
      <c r="S189" s="515"/>
      <c r="T189" s="515"/>
      <c r="U189" s="515"/>
      <c r="V189" s="515"/>
      <c r="W189" s="515"/>
      <c r="X189" s="515"/>
      <c r="Y189" s="516">
        <f>'Расчет лесов'!B$15</f>
        <v>0</v>
      </c>
      <c r="Z189" s="516"/>
      <c r="AA189" s="516"/>
      <c r="AB189" s="516"/>
      <c r="AC189" s="516"/>
      <c r="AD189" s="516"/>
      <c r="AE189" s="516"/>
      <c r="AF189" s="550">
        <f>'Расчет лесов'!C$15</f>
        <v>150</v>
      </c>
      <c r="AG189" s="550"/>
      <c r="AH189" s="550"/>
      <c r="AI189" s="550"/>
      <c r="AJ189" s="550"/>
      <c r="AK189" s="550"/>
      <c r="AL189" s="550"/>
      <c r="AM189" s="551">
        <f t="shared" si="9"/>
        <v>0</v>
      </c>
      <c r="AN189" s="551"/>
      <c r="AO189" s="551"/>
      <c r="AP189" s="551"/>
      <c r="AQ189" s="551"/>
      <c r="AR189" s="551"/>
      <c r="AS189" s="551"/>
    </row>
    <row r="190" spans="1:46">
      <c r="A190" s="516"/>
      <c r="B190" s="516"/>
      <c r="C190" s="516"/>
      <c r="D190" s="516"/>
      <c r="E190" s="518"/>
      <c r="F190" s="519"/>
      <c r="G190" s="519"/>
      <c r="H190" s="519"/>
      <c r="I190" s="519"/>
      <c r="J190" s="519"/>
      <c r="K190" s="519"/>
      <c r="L190" s="519"/>
      <c r="M190" s="519"/>
      <c r="N190" s="519"/>
      <c r="O190" s="519"/>
      <c r="P190" s="519"/>
      <c r="Q190" s="519"/>
      <c r="R190" s="519"/>
      <c r="S190" s="519"/>
      <c r="T190" s="519"/>
      <c r="U190" s="519"/>
      <c r="V190" s="519"/>
      <c r="W190" s="519"/>
      <c r="X190" s="519"/>
      <c r="Y190" s="516"/>
      <c r="Z190" s="516"/>
      <c r="AA190" s="516"/>
      <c r="AB190" s="516"/>
      <c r="AC190" s="516"/>
      <c r="AD190" s="516"/>
      <c r="AE190" s="516"/>
      <c r="AF190" s="582" t="s">
        <v>400</v>
      </c>
      <c r="AG190" s="582"/>
      <c r="AH190" s="582"/>
      <c r="AI190" s="582"/>
      <c r="AJ190" s="582"/>
      <c r="AK190" s="582"/>
      <c r="AL190" s="582"/>
      <c r="AM190" s="551">
        <f>SUM(AM182:AS189)</f>
        <v>30440</v>
      </c>
      <c r="AN190" s="551"/>
      <c r="AO190" s="551"/>
      <c r="AP190" s="551"/>
      <c r="AQ190" s="551"/>
      <c r="AR190" s="551"/>
      <c r="AS190" s="551"/>
    </row>
    <row r="192" spans="1:46" ht="30" customHeight="1">
      <c r="A192" s="543" t="s">
        <v>404</v>
      </c>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c r="AB192" s="543"/>
      <c r="AC192" s="543"/>
      <c r="AD192" s="543"/>
      <c r="AE192" s="543"/>
      <c r="AF192" s="543"/>
      <c r="AG192" s="543"/>
      <c r="AH192" s="543"/>
      <c r="AI192" s="543"/>
      <c r="AJ192" s="543"/>
      <c r="AK192" s="543"/>
      <c r="AL192" s="543"/>
      <c r="AM192" s="543"/>
      <c r="AN192" s="543"/>
      <c r="AO192" s="543"/>
      <c r="AP192" s="543"/>
      <c r="AQ192" s="543"/>
      <c r="AR192" s="543"/>
      <c r="AS192" s="543"/>
    </row>
    <row r="193" spans="1:45">
      <c r="A193" s="543" t="s">
        <v>405</v>
      </c>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43"/>
      <c r="AH193" s="543"/>
      <c r="AI193" s="543"/>
      <c r="AJ193" s="543"/>
      <c r="AK193" s="543"/>
      <c r="AL193" s="543"/>
      <c r="AM193" s="543"/>
      <c r="AN193" s="543"/>
      <c r="AO193" s="543"/>
      <c r="AP193" s="543"/>
      <c r="AQ193" s="543"/>
      <c r="AR193" s="543"/>
      <c r="AS193" s="543"/>
    </row>
    <row r="194" spans="1:45">
      <c r="A194" s="580"/>
      <c r="B194" s="580"/>
      <c r="C194" s="580"/>
      <c r="D194" s="580"/>
      <c r="E194" s="580"/>
      <c r="F194" s="580"/>
      <c r="G194" s="580"/>
      <c r="H194" s="580"/>
      <c r="I194" s="580"/>
      <c r="J194" s="580"/>
      <c r="K194" s="580"/>
      <c r="L194" s="580"/>
      <c r="M194" s="580"/>
      <c r="N194" s="580"/>
      <c r="O194" s="580"/>
      <c r="P194" s="580"/>
      <c r="Q194" s="580"/>
      <c r="R194" s="580"/>
      <c r="S194" s="580"/>
      <c r="T194" s="580"/>
      <c r="U194" s="580"/>
      <c r="V194" s="580"/>
      <c r="W194" s="580"/>
      <c r="X194" s="580"/>
      <c r="Y194" s="580"/>
      <c r="Z194" s="580"/>
      <c r="AA194" s="580"/>
      <c r="AB194" s="580"/>
      <c r="AC194" s="580"/>
      <c r="AD194" s="580"/>
      <c r="AE194" s="580"/>
      <c r="AF194" s="580"/>
      <c r="AG194" s="580"/>
      <c r="AH194" s="580"/>
      <c r="AI194" s="580"/>
      <c r="AJ194" s="580"/>
      <c r="AK194" s="580"/>
      <c r="AL194" s="580"/>
      <c r="AM194" s="580"/>
      <c r="AN194" s="580"/>
      <c r="AO194" s="580"/>
      <c r="AP194" s="580"/>
      <c r="AQ194" s="580"/>
      <c r="AR194" s="580"/>
      <c r="AS194" s="580"/>
    </row>
    <row r="195" spans="1:45">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c r="AA195" s="584"/>
      <c r="AB195" s="584"/>
      <c r="AC195" s="584"/>
      <c r="AD195" s="584"/>
      <c r="AE195" s="584"/>
      <c r="AF195" s="584"/>
      <c r="AG195" s="584"/>
      <c r="AH195" s="584"/>
      <c r="AI195" s="584"/>
      <c r="AJ195" s="584"/>
      <c r="AK195" s="584"/>
      <c r="AL195" s="584"/>
      <c r="AM195" s="584"/>
      <c r="AN195" s="584"/>
      <c r="AO195" s="584"/>
      <c r="AP195" s="584"/>
      <c r="AQ195" s="584"/>
      <c r="AR195" s="584"/>
      <c r="AS195" s="584"/>
    </row>
    <row r="196" spans="1:45">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c r="AA196" s="584"/>
      <c r="AB196" s="584"/>
      <c r="AC196" s="584"/>
      <c r="AD196" s="584"/>
      <c r="AE196" s="584"/>
      <c r="AF196" s="584"/>
      <c r="AG196" s="584"/>
      <c r="AH196" s="584"/>
      <c r="AI196" s="584"/>
      <c r="AJ196" s="584"/>
      <c r="AK196" s="584"/>
      <c r="AL196" s="584"/>
      <c r="AM196" s="584"/>
      <c r="AN196" s="584"/>
      <c r="AO196" s="584"/>
      <c r="AP196" s="584"/>
      <c r="AQ196" s="584"/>
      <c r="AR196" s="584"/>
      <c r="AS196" s="584"/>
    </row>
    <row r="197" spans="1:45">
      <c r="A197" s="581"/>
      <c r="B197" s="581"/>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c r="AA197" s="581"/>
      <c r="AB197" s="581"/>
      <c r="AC197" s="581"/>
      <c r="AD197" s="581"/>
      <c r="AE197" s="581"/>
      <c r="AF197" s="581"/>
      <c r="AG197" s="581"/>
      <c r="AH197" s="581"/>
      <c r="AI197" s="581"/>
      <c r="AJ197" s="581"/>
      <c r="AK197" s="581"/>
      <c r="AL197" s="581"/>
      <c r="AM197" s="581"/>
      <c r="AN197" s="581"/>
      <c r="AO197" s="581"/>
      <c r="AP197" s="581"/>
      <c r="AQ197" s="581"/>
      <c r="AR197" s="581"/>
      <c r="AS197" s="581"/>
    </row>
    <row r="198" spans="1:45">
      <c r="A198" s="543" t="s">
        <v>406</v>
      </c>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spans="1:45">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c r="AM199" s="543"/>
      <c r="AN199" s="543"/>
      <c r="AO199" s="543"/>
      <c r="AP199" s="543"/>
      <c r="AQ199" s="543"/>
      <c r="AR199" s="543"/>
      <c r="AS199" s="543"/>
    </row>
    <row r="200" spans="1:45">
      <c r="A200" s="517" t="s">
        <v>403</v>
      </c>
      <c r="B200" s="517"/>
      <c r="C200" s="517"/>
      <c r="D200" s="517"/>
      <c r="E200" s="517"/>
      <c r="F200" s="517"/>
      <c r="G200" s="517"/>
      <c r="H200" s="517"/>
      <c r="I200" s="517"/>
      <c r="J200" s="517"/>
      <c r="K200" s="517"/>
      <c r="L200" s="517"/>
      <c r="M200" s="517"/>
      <c r="N200" s="517"/>
      <c r="O200" s="517"/>
      <c r="P200" s="517"/>
      <c r="Q200" s="517"/>
      <c r="R200" s="517"/>
      <c r="S200" s="517"/>
      <c r="T200" s="517"/>
      <c r="U200" s="517"/>
      <c r="V200" s="517"/>
      <c r="W200" s="517"/>
      <c r="X200" s="517"/>
      <c r="Y200" s="517"/>
      <c r="Z200" s="517"/>
      <c r="AA200" s="517"/>
      <c r="AB200" s="517"/>
      <c r="AC200" s="517"/>
      <c r="AD200" s="517"/>
      <c r="AE200" s="517"/>
      <c r="AF200" s="517"/>
      <c r="AG200" s="517"/>
      <c r="AH200" s="517"/>
      <c r="AI200" s="517"/>
      <c r="AJ200" s="517"/>
      <c r="AK200" s="517"/>
      <c r="AL200" s="517"/>
      <c r="AM200" s="517"/>
      <c r="AN200" s="517"/>
      <c r="AO200" s="517"/>
      <c r="AP200" s="517"/>
      <c r="AQ200" s="517"/>
      <c r="AR200" s="517"/>
      <c r="AS200" s="517"/>
    </row>
    <row r="201" spans="1:45">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c r="AA201" s="219"/>
      <c r="AB201" s="219"/>
      <c r="AC201" s="219"/>
      <c r="AD201" s="219"/>
      <c r="AE201" s="219"/>
      <c r="AF201" s="219"/>
      <c r="AG201" s="219"/>
      <c r="AH201" s="219"/>
      <c r="AI201" s="219"/>
      <c r="AJ201" s="219"/>
      <c r="AK201" s="219"/>
      <c r="AL201" s="219"/>
      <c r="AM201" s="219"/>
      <c r="AN201" s="219"/>
      <c r="AO201" s="219"/>
      <c r="AP201" s="219"/>
      <c r="AQ201" s="219"/>
      <c r="AR201" s="219"/>
      <c r="AS201" s="219"/>
    </row>
    <row r="202" spans="1:45">
      <c r="A202" s="219"/>
      <c r="B202" s="94" t="s">
        <v>116</v>
      </c>
      <c r="AF202" s="94" t="s">
        <v>117</v>
      </c>
      <c r="AQ202" s="219"/>
      <c r="AR202" s="219"/>
      <c r="AS202" s="219"/>
    </row>
    <row r="203" spans="1:45" ht="3.75" customHeight="1">
      <c r="A203" s="219"/>
      <c r="AQ203" s="219"/>
      <c r="AR203" s="219"/>
      <c r="AS203" s="219"/>
    </row>
    <row r="204" spans="1:45">
      <c r="A204" s="219"/>
      <c r="B204" s="97"/>
      <c r="C204" s="97"/>
      <c r="D204" s="97"/>
      <c r="E204" s="97"/>
      <c r="F204" s="97"/>
      <c r="G204" s="97"/>
      <c r="H204" s="97"/>
      <c r="I204" s="97"/>
      <c r="J204" s="97"/>
      <c r="K204" s="97"/>
      <c r="L204" s="97"/>
      <c r="M204" s="93" t="str">
        <f>BX4</f>
        <v>А.П. Выборных</v>
      </c>
      <c r="AF204" s="97"/>
      <c r="AG204" s="97"/>
      <c r="AH204" s="97"/>
      <c r="AI204" s="97"/>
      <c r="AJ204" s="97"/>
      <c r="AK204" s="97"/>
      <c r="AL204" s="97"/>
      <c r="AM204" s="97"/>
      <c r="AN204" s="97"/>
      <c r="AO204" s="97"/>
      <c r="AP204" s="97"/>
      <c r="AQ204" s="219"/>
      <c r="AR204" s="219"/>
      <c r="AS204" s="219"/>
    </row>
    <row r="205" spans="1:45">
      <c r="A205" s="219"/>
      <c r="AQ205" s="219"/>
      <c r="AR205" s="219"/>
      <c r="AS205" s="219"/>
    </row>
    <row r="206" spans="1:45">
      <c r="B206" s="94" t="s">
        <v>118</v>
      </c>
      <c r="AF206" s="94" t="s">
        <v>118</v>
      </c>
    </row>
    <row r="208" spans="1:45">
      <c r="A208" s="544" t="str">
        <f ca="1">CONCATENATE("Приложение №3 к договору аренды оборудования №",ДляДоговора!B2)</f>
        <v>Приложение №3 к договору аренды оборудования №30/03-А(23)</v>
      </c>
      <c r="B208" s="544"/>
      <c r="C208" s="544"/>
      <c r="D208" s="544"/>
      <c r="E208" s="544"/>
      <c r="F208" s="544"/>
      <c r="G208" s="544"/>
      <c r="H208" s="544"/>
      <c r="I208" s="544"/>
      <c r="J208" s="544"/>
      <c r="K208" s="544"/>
      <c r="L208" s="544"/>
      <c r="M208" s="544"/>
      <c r="N208" s="544"/>
      <c r="O208" s="544"/>
      <c r="P208" s="544"/>
      <c r="Q208" s="544"/>
      <c r="R208" s="544"/>
      <c r="S208" s="544"/>
      <c r="T208" s="544"/>
      <c r="U208" s="544"/>
      <c r="V208" s="544"/>
      <c r="W208" s="544"/>
      <c r="X208" s="544"/>
      <c r="Y208" s="544"/>
      <c r="Z208" s="544"/>
      <c r="AA208" s="544"/>
      <c r="AB208" s="544"/>
      <c r="AC208" s="544"/>
      <c r="AD208" s="544"/>
      <c r="AE208" s="544"/>
      <c r="AF208" s="544"/>
      <c r="AG208" s="544"/>
      <c r="AH208" s="544"/>
      <c r="AI208" s="544"/>
      <c r="AJ208" s="544"/>
      <c r="AK208" s="544"/>
      <c r="AL208" s="544"/>
      <c r="AM208" s="544"/>
      <c r="AN208" s="544"/>
      <c r="AO208" s="544"/>
      <c r="AP208" s="544"/>
      <c r="AQ208" s="544"/>
      <c r="AR208" s="544"/>
      <c r="AS208" s="544"/>
    </row>
    <row r="209" spans="1:46">
      <c r="AL209" s="197" t="str">
        <f ca="1">CONCATENATE("от ",ДляДоговора!B3)</f>
        <v>от 30 марта 2023г.</v>
      </c>
    </row>
    <row r="210" spans="1:46">
      <c r="V210" s="88"/>
    </row>
    <row r="211" spans="1:46" ht="30" customHeight="1">
      <c r="A211" s="545" t="s">
        <v>407</v>
      </c>
      <c r="B211" s="545"/>
      <c r="C211" s="545"/>
      <c r="D211" s="545"/>
      <c r="E211" s="545"/>
      <c r="F211" s="545"/>
      <c r="G211" s="545"/>
      <c r="H211" s="545"/>
      <c r="I211" s="545"/>
      <c r="J211" s="545"/>
      <c r="K211" s="545"/>
      <c r="L211" s="545"/>
      <c r="M211" s="545"/>
      <c r="N211" s="545"/>
      <c r="O211" s="545"/>
      <c r="P211" s="545"/>
      <c r="Q211" s="545"/>
      <c r="R211" s="545"/>
      <c r="S211" s="545"/>
      <c r="T211" s="545"/>
      <c r="U211" s="545"/>
      <c r="V211" s="545"/>
      <c r="W211" s="545"/>
      <c r="X211" s="545"/>
      <c r="Y211" s="545"/>
      <c r="Z211" s="545"/>
      <c r="AA211" s="545"/>
      <c r="AB211" s="545"/>
      <c r="AC211" s="545"/>
      <c r="AD211" s="545"/>
      <c r="AE211" s="545"/>
      <c r="AF211" s="545"/>
      <c r="AG211" s="545"/>
      <c r="AH211" s="545"/>
      <c r="AI211" s="545"/>
      <c r="AJ211" s="545"/>
      <c r="AK211" s="545"/>
      <c r="AL211" s="545"/>
      <c r="AM211" s="545"/>
      <c r="AN211" s="545"/>
      <c r="AO211" s="545"/>
      <c r="AP211" s="545"/>
      <c r="AQ211" s="545"/>
      <c r="AR211" s="545"/>
      <c r="AS211" s="545"/>
    </row>
    <row r="212" spans="1:46">
      <c r="A212" s="216"/>
      <c r="B212" s="216"/>
      <c r="C212" s="216"/>
      <c r="D212" s="216"/>
      <c r="E212" s="216"/>
      <c r="F212" s="216"/>
      <c r="G212" s="216"/>
      <c r="H212" s="216"/>
      <c r="I212" s="216"/>
      <c r="J212" s="216"/>
      <c r="K212" s="216"/>
      <c r="L212" s="216"/>
      <c r="M212" s="216"/>
      <c r="N212" s="216"/>
      <c r="O212" s="216"/>
      <c r="P212" s="216"/>
      <c r="Q212" s="216"/>
      <c r="R212" s="216"/>
      <c r="S212" s="216"/>
      <c r="T212" s="216"/>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216"/>
      <c r="AP212" s="216"/>
      <c r="AQ212" s="216"/>
      <c r="AR212" s="216"/>
      <c r="AS212" s="216"/>
    </row>
    <row r="213" spans="1:46">
      <c r="A213" s="94" t="str">
        <f>ДляДоговора!B22</f>
        <v>г. Екатеринбург</v>
      </c>
    </row>
    <row r="215" spans="1:46" ht="135" customHeight="1">
      <c r="A215" s="546" t="str">
        <f ca="1">"ООО «УПСК», именуемое в дальнейшем «Арендодатель», в лице "&amp;BX3&amp;" действующего на основании Устава, с одной стороны, и "&amp;ДляДоговора!B4&amp;", именуемое в дальнейшем «Арендатор», в лице "&amp;ДляДоговора!B5&amp;" "&amp;ДляДоговора!B6&amp;" действующего на основании "&amp;ДляДоговора!B7&amp;ДляДоговора!B8&amp;" с другой стороны, в соответствии с условиями заключенного Сторонами Договора аренды оборудования № "&amp;ДляДоговора!B2&amp;" от "&amp;ДляДоговора!B3&amp;" согласовали следующий порядок определения стоимости устранения повреждений / обслуживания арендуемого оборудования,"&amp;" в случае его повреждения, уничтожения, прочих затрат на приведение оборудование в первоначальное или работоспособное состояние, за исключением его нормального износа:"</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в соответствии с условиями заключенного Сторонами Договора аренды оборудования № 30/03-А(23) от 30 марта 2023г. согласовали следующий порядок определения стоимости устранения повреждений / обслуживания арендуемого оборудования, в случае его повреждения, уничтожения, прочих затрат на приведение оборудование в первоначальное или работоспособное состояние, за исключением его нормального износа:</v>
      </c>
      <c r="B215" s="546"/>
      <c r="C215" s="546"/>
      <c r="D215" s="546"/>
      <c r="E215" s="546"/>
      <c r="F215" s="546"/>
      <c r="G215" s="546"/>
      <c r="H215" s="546"/>
      <c r="I215" s="546"/>
      <c r="J215" s="546"/>
      <c r="K215" s="546"/>
      <c r="L215" s="546"/>
      <c r="M215" s="546"/>
      <c r="N215" s="546"/>
      <c r="O215" s="546"/>
      <c r="P215" s="546"/>
      <c r="Q215" s="546"/>
      <c r="R215" s="546"/>
      <c r="S215" s="546"/>
      <c r="T215" s="546"/>
      <c r="U215" s="546"/>
      <c r="V215" s="546"/>
      <c r="W215" s="546"/>
      <c r="X215" s="546"/>
      <c r="Y215" s="546"/>
      <c r="Z215" s="546"/>
      <c r="AA215" s="546"/>
      <c r="AB215" s="546"/>
      <c r="AC215" s="546"/>
      <c r="AD215" s="546"/>
      <c r="AE215" s="546"/>
      <c r="AF215" s="546"/>
      <c r="AG215" s="546"/>
      <c r="AH215" s="546"/>
      <c r="AI215" s="546"/>
      <c r="AJ215" s="546"/>
      <c r="AK215" s="546"/>
      <c r="AL215" s="546"/>
      <c r="AM215" s="546"/>
      <c r="AN215" s="546"/>
      <c r="AO215" s="546"/>
      <c r="AP215" s="546"/>
      <c r="AQ215" s="546"/>
      <c r="AR215" s="546"/>
      <c r="AS215" s="546"/>
    </row>
    <row r="216" spans="1:46" ht="30" customHeight="1">
      <c r="A216" s="543" t="s">
        <v>408</v>
      </c>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c r="AB216" s="543"/>
      <c r="AC216" s="543"/>
      <c r="AD216" s="543"/>
      <c r="AE216" s="543"/>
      <c r="AF216" s="543"/>
      <c r="AG216" s="543"/>
      <c r="AH216" s="543"/>
      <c r="AI216" s="543"/>
      <c r="AJ216" s="543"/>
      <c r="AK216" s="543"/>
      <c r="AL216" s="543"/>
      <c r="AM216" s="543"/>
      <c r="AN216" s="543"/>
      <c r="AO216" s="543"/>
      <c r="AP216" s="543"/>
      <c r="AQ216" s="543"/>
      <c r="AR216" s="543"/>
      <c r="AS216" s="543"/>
      <c r="AT216" s="222"/>
    </row>
    <row r="217" spans="1:46" ht="45" customHeight="1">
      <c r="A217" s="543" t="s">
        <v>409</v>
      </c>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c r="AB217" s="543"/>
      <c r="AC217" s="543"/>
      <c r="AD217" s="543"/>
      <c r="AE217" s="543"/>
      <c r="AF217" s="543"/>
      <c r="AG217" s="543"/>
      <c r="AH217" s="543"/>
      <c r="AI217" s="543"/>
      <c r="AJ217" s="543"/>
      <c r="AK217" s="543"/>
      <c r="AL217" s="543"/>
      <c r="AM217" s="543"/>
      <c r="AN217" s="543"/>
      <c r="AO217" s="543"/>
      <c r="AP217" s="543"/>
      <c r="AQ217" s="543"/>
      <c r="AR217" s="543"/>
      <c r="AS217" s="543"/>
      <c r="AT217" s="221"/>
    </row>
    <row r="218" spans="1:46" ht="30" customHeight="1">
      <c r="A218" s="543" t="s">
        <v>410</v>
      </c>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c r="AB218" s="543"/>
      <c r="AC218" s="543"/>
      <c r="AD218" s="543"/>
      <c r="AE218" s="543"/>
      <c r="AF218" s="543"/>
      <c r="AG218" s="543"/>
      <c r="AH218" s="543"/>
      <c r="AI218" s="543"/>
      <c r="AJ218" s="543"/>
      <c r="AK218" s="543"/>
      <c r="AL218" s="543"/>
      <c r="AM218" s="543"/>
      <c r="AN218" s="543"/>
      <c r="AO218" s="543"/>
      <c r="AP218" s="543"/>
      <c r="AQ218" s="543"/>
      <c r="AR218" s="543"/>
      <c r="AS218" s="543"/>
      <c r="AT218" s="221"/>
    </row>
    <row r="219" spans="1:46">
      <c r="A219" s="543" t="s">
        <v>411</v>
      </c>
      <c r="B219" s="543"/>
      <c r="C219" s="543"/>
      <c r="D219" s="543"/>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c r="AA219" s="543"/>
      <c r="AB219" s="543"/>
      <c r="AC219" s="543"/>
      <c r="AD219" s="543"/>
      <c r="AE219" s="543"/>
      <c r="AF219" s="543"/>
      <c r="AG219" s="543"/>
      <c r="AH219" s="543"/>
      <c r="AI219" s="543"/>
      <c r="AJ219" s="543"/>
      <c r="AK219" s="543"/>
      <c r="AL219" s="543"/>
      <c r="AM219" s="543"/>
      <c r="AN219" s="543"/>
      <c r="AO219" s="543"/>
      <c r="AP219" s="543"/>
      <c r="AQ219" s="543"/>
      <c r="AR219" s="543"/>
      <c r="AS219" s="543"/>
      <c r="AT219" s="221"/>
    </row>
    <row r="220" spans="1:46">
      <c r="A220" s="549"/>
      <c r="B220" s="549"/>
      <c r="C220" s="549"/>
      <c r="D220" s="549"/>
      <c r="E220" s="549"/>
      <c r="F220" s="549"/>
      <c r="G220" s="549"/>
      <c r="H220" s="549"/>
      <c r="I220" s="549"/>
      <c r="J220" s="549"/>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221"/>
    </row>
    <row r="221" spans="1:46" s="219" customFormat="1" ht="15">
      <c r="A221" s="547" t="s">
        <v>412</v>
      </c>
      <c r="B221" s="547"/>
      <c r="C221" s="547"/>
      <c r="D221" s="547"/>
      <c r="E221" s="547"/>
      <c r="F221" s="547"/>
      <c r="G221" s="547"/>
      <c r="H221" s="547"/>
      <c r="I221" s="547"/>
      <c r="J221" s="547"/>
      <c r="K221" s="547"/>
      <c r="L221" s="547"/>
      <c r="M221" s="547"/>
      <c r="N221" s="547"/>
      <c r="O221" s="547"/>
      <c r="P221" s="547"/>
      <c r="Q221" s="547"/>
      <c r="R221" s="547"/>
      <c r="S221" s="547"/>
      <c r="T221" s="547"/>
      <c r="U221" s="547"/>
      <c r="V221" s="547"/>
      <c r="W221" s="547"/>
      <c r="X221" s="547"/>
      <c r="Y221" s="548"/>
      <c r="Z221" s="548"/>
      <c r="AA221" s="548"/>
      <c r="AB221" s="548"/>
      <c r="AC221" s="548"/>
      <c r="AD221" s="548"/>
      <c r="AE221" s="548"/>
      <c r="AF221" s="548"/>
      <c r="AG221" s="548"/>
      <c r="AH221" s="548"/>
      <c r="AI221" s="548"/>
      <c r="AJ221" s="548"/>
      <c r="AK221" s="548"/>
      <c r="AL221" s="548"/>
      <c r="AM221" s="548"/>
      <c r="AN221" s="548"/>
      <c r="AO221" s="548"/>
      <c r="AP221" s="548"/>
      <c r="AQ221" s="548"/>
      <c r="AR221" s="548"/>
      <c r="AS221" s="548"/>
      <c r="AT221" s="220"/>
    </row>
    <row r="222" spans="1:46" ht="30" customHeight="1">
      <c r="A222" s="510" t="s">
        <v>121</v>
      </c>
      <c r="B222" s="510"/>
      <c r="C222" s="510"/>
      <c r="D222" s="510"/>
      <c r="E222" s="510" t="s">
        <v>31</v>
      </c>
      <c r="F222" s="510"/>
      <c r="G222" s="510"/>
      <c r="H222" s="510"/>
      <c r="I222" s="510"/>
      <c r="J222" s="510"/>
      <c r="K222" s="510"/>
      <c r="L222" s="510"/>
      <c r="M222" s="510"/>
      <c r="N222" s="510"/>
      <c r="O222" s="510"/>
      <c r="P222" s="510"/>
      <c r="Q222" s="510"/>
      <c r="R222" s="510"/>
      <c r="S222" s="510"/>
      <c r="T222" s="510"/>
      <c r="U222" s="510"/>
      <c r="V222" s="510"/>
      <c r="W222" s="510"/>
      <c r="X222" s="583"/>
      <c r="Y222" s="507" t="s">
        <v>413</v>
      </c>
      <c r="Z222" s="507"/>
      <c r="AA222" s="507"/>
      <c r="AB222" s="507"/>
      <c r="AC222" s="507"/>
      <c r="AD222" s="507"/>
      <c r="AE222" s="507"/>
      <c r="AF222" s="507"/>
      <c r="AG222" s="507"/>
      <c r="AH222" s="507"/>
      <c r="AI222" s="507" t="s">
        <v>414</v>
      </c>
      <c r="AJ222" s="507"/>
      <c r="AK222" s="507"/>
      <c r="AL222" s="507"/>
      <c r="AM222" s="507"/>
      <c r="AN222" s="507"/>
      <c r="AO222" s="507"/>
      <c r="AP222" s="507"/>
      <c r="AQ222" s="507"/>
      <c r="AR222" s="507"/>
      <c r="AS222" s="507"/>
    </row>
    <row r="223" spans="1:46">
      <c r="A223" s="516">
        <v>1</v>
      </c>
      <c r="B223" s="516"/>
      <c r="C223" s="516"/>
      <c r="D223" s="516"/>
      <c r="E223" s="515" t="s">
        <v>124</v>
      </c>
      <c r="F223" s="515"/>
      <c r="G223" s="515"/>
      <c r="H223" s="515"/>
      <c r="I223" s="515"/>
      <c r="J223" s="515"/>
      <c r="K223" s="515"/>
      <c r="L223" s="515"/>
      <c r="M223" s="515"/>
      <c r="N223" s="515"/>
      <c r="O223" s="515"/>
      <c r="P223" s="515"/>
      <c r="Q223" s="515"/>
      <c r="R223" s="515"/>
      <c r="S223" s="515"/>
      <c r="T223" s="515"/>
      <c r="U223" s="515"/>
      <c r="V223" s="515"/>
      <c r="W223" s="515"/>
      <c r="X223" s="523"/>
      <c r="Y223" s="510">
        <v>100</v>
      </c>
      <c r="Z223" s="510"/>
      <c r="AA223" s="510"/>
      <c r="AB223" s="510"/>
      <c r="AC223" s="510"/>
      <c r="AD223" s="510"/>
      <c r="AE223" s="510"/>
      <c r="AF223" s="510"/>
      <c r="AG223" s="510"/>
      <c r="AH223" s="510"/>
      <c r="AI223" s="524">
        <v>300</v>
      </c>
      <c r="AJ223" s="524"/>
      <c r="AK223" s="524"/>
      <c r="AL223" s="524"/>
      <c r="AM223" s="524"/>
      <c r="AN223" s="524"/>
      <c r="AO223" s="524"/>
      <c r="AP223" s="524"/>
      <c r="AQ223" s="524"/>
      <c r="AR223" s="524"/>
      <c r="AS223" s="524"/>
    </row>
    <row r="224" spans="1:46">
      <c r="A224" s="516">
        <v>2</v>
      </c>
      <c r="B224" s="516"/>
      <c r="C224" s="516"/>
      <c r="D224" s="516"/>
      <c r="E224" s="515" t="s">
        <v>125</v>
      </c>
      <c r="F224" s="515"/>
      <c r="G224" s="515"/>
      <c r="H224" s="515"/>
      <c r="I224" s="515"/>
      <c r="J224" s="515"/>
      <c r="K224" s="515"/>
      <c r="L224" s="515"/>
      <c r="M224" s="515"/>
      <c r="N224" s="515"/>
      <c r="O224" s="515"/>
      <c r="P224" s="515"/>
      <c r="Q224" s="515"/>
      <c r="R224" s="515"/>
      <c r="S224" s="515"/>
      <c r="T224" s="515"/>
      <c r="U224" s="515"/>
      <c r="V224" s="515"/>
      <c r="W224" s="515"/>
      <c r="X224" s="523"/>
      <c r="Y224" s="510">
        <v>100</v>
      </c>
      <c r="Z224" s="510"/>
      <c r="AA224" s="510"/>
      <c r="AB224" s="510"/>
      <c r="AC224" s="510"/>
      <c r="AD224" s="510"/>
      <c r="AE224" s="510"/>
      <c r="AF224" s="510"/>
      <c r="AG224" s="510"/>
      <c r="AH224" s="510"/>
      <c r="AI224" s="524">
        <v>350</v>
      </c>
      <c r="AJ224" s="524"/>
      <c r="AK224" s="524"/>
      <c r="AL224" s="524"/>
      <c r="AM224" s="524"/>
      <c r="AN224" s="524"/>
      <c r="AO224" s="524"/>
      <c r="AP224" s="524"/>
      <c r="AQ224" s="524"/>
      <c r="AR224" s="524"/>
      <c r="AS224" s="524"/>
    </row>
    <row r="225" spans="1:45">
      <c r="A225" s="516">
        <v>3</v>
      </c>
      <c r="B225" s="516"/>
      <c r="C225" s="516"/>
      <c r="D225" s="516"/>
      <c r="E225" s="515" t="s">
        <v>126</v>
      </c>
      <c r="F225" s="515"/>
      <c r="G225" s="515"/>
      <c r="H225" s="515"/>
      <c r="I225" s="515"/>
      <c r="J225" s="515"/>
      <c r="K225" s="515"/>
      <c r="L225" s="515"/>
      <c r="M225" s="515"/>
      <c r="N225" s="515"/>
      <c r="O225" s="515"/>
      <c r="P225" s="515"/>
      <c r="Q225" s="515"/>
      <c r="R225" s="515"/>
      <c r="S225" s="515"/>
      <c r="T225" s="515"/>
      <c r="U225" s="515"/>
      <c r="V225" s="515"/>
      <c r="W225" s="515"/>
      <c r="X225" s="523"/>
      <c r="Y225" s="510">
        <v>100</v>
      </c>
      <c r="Z225" s="510"/>
      <c r="AA225" s="510"/>
      <c r="AB225" s="510"/>
      <c r="AC225" s="510"/>
      <c r="AD225" s="510"/>
      <c r="AE225" s="510"/>
      <c r="AF225" s="510"/>
      <c r="AG225" s="510"/>
      <c r="AH225" s="510"/>
      <c r="AI225" s="524">
        <v>100</v>
      </c>
      <c r="AJ225" s="524"/>
      <c r="AK225" s="524"/>
      <c r="AL225" s="524"/>
      <c r="AM225" s="524"/>
      <c r="AN225" s="524"/>
      <c r="AO225" s="524"/>
      <c r="AP225" s="524"/>
      <c r="AQ225" s="524"/>
      <c r="AR225" s="524"/>
      <c r="AS225" s="524"/>
    </row>
    <row r="226" spans="1:45">
      <c r="A226" s="516">
        <v>4</v>
      </c>
      <c r="B226" s="516"/>
      <c r="C226" s="516"/>
      <c r="D226" s="516"/>
      <c r="E226" s="515" t="s">
        <v>127</v>
      </c>
      <c r="F226" s="515"/>
      <c r="G226" s="515"/>
      <c r="H226" s="515"/>
      <c r="I226" s="515"/>
      <c r="J226" s="515"/>
      <c r="K226" s="515"/>
      <c r="L226" s="515"/>
      <c r="M226" s="515"/>
      <c r="N226" s="515"/>
      <c r="O226" s="515"/>
      <c r="P226" s="515"/>
      <c r="Q226" s="515"/>
      <c r="R226" s="515"/>
      <c r="S226" s="515"/>
      <c r="T226" s="515"/>
      <c r="U226" s="515"/>
      <c r="V226" s="515"/>
      <c r="W226" s="515"/>
      <c r="X226" s="523"/>
      <c r="Y226" s="510">
        <v>50</v>
      </c>
      <c r="Z226" s="510"/>
      <c r="AA226" s="510"/>
      <c r="AB226" s="510"/>
      <c r="AC226" s="510"/>
      <c r="AD226" s="510"/>
      <c r="AE226" s="510"/>
      <c r="AF226" s="510"/>
      <c r="AG226" s="510"/>
      <c r="AH226" s="510"/>
      <c r="AI226" s="524">
        <v>50</v>
      </c>
      <c r="AJ226" s="524"/>
      <c r="AK226" s="524"/>
      <c r="AL226" s="524"/>
      <c r="AM226" s="524"/>
      <c r="AN226" s="524"/>
      <c r="AO226" s="524"/>
      <c r="AP226" s="524"/>
      <c r="AQ226" s="524"/>
      <c r="AR226" s="524"/>
      <c r="AS226" s="524"/>
    </row>
    <row r="227" spans="1:45">
      <c r="A227" s="516">
        <v>5</v>
      </c>
      <c r="B227" s="516"/>
      <c r="C227" s="516"/>
      <c r="D227" s="516"/>
      <c r="E227" s="515" t="s">
        <v>128</v>
      </c>
      <c r="F227" s="515"/>
      <c r="G227" s="515"/>
      <c r="H227" s="515"/>
      <c r="I227" s="515"/>
      <c r="J227" s="515"/>
      <c r="K227" s="515"/>
      <c r="L227" s="515"/>
      <c r="M227" s="515"/>
      <c r="N227" s="515"/>
      <c r="O227" s="515"/>
      <c r="P227" s="515"/>
      <c r="Q227" s="515"/>
      <c r="R227" s="515"/>
      <c r="S227" s="515"/>
      <c r="T227" s="515"/>
      <c r="U227" s="515"/>
      <c r="V227" s="515"/>
      <c r="W227" s="515"/>
      <c r="X227" s="523"/>
      <c r="Y227" s="510">
        <v>50</v>
      </c>
      <c r="Z227" s="510"/>
      <c r="AA227" s="510"/>
      <c r="AB227" s="510"/>
      <c r="AC227" s="510"/>
      <c r="AD227" s="510"/>
      <c r="AE227" s="510"/>
      <c r="AF227" s="510"/>
      <c r="AG227" s="510"/>
      <c r="AH227" s="510"/>
      <c r="AI227" s="524">
        <v>100</v>
      </c>
      <c r="AJ227" s="524"/>
      <c r="AK227" s="524"/>
      <c r="AL227" s="524"/>
      <c r="AM227" s="524"/>
      <c r="AN227" s="524"/>
      <c r="AO227" s="524"/>
      <c r="AP227" s="524"/>
      <c r="AQ227" s="524"/>
      <c r="AR227" s="524"/>
      <c r="AS227" s="524"/>
    </row>
    <row r="228" spans="1:45">
      <c r="A228" s="516">
        <v>6</v>
      </c>
      <c r="B228" s="516"/>
      <c r="C228" s="516"/>
      <c r="D228" s="516"/>
      <c r="E228" s="515" t="str">
        <f>E187</f>
        <v>Ригель для настила</v>
      </c>
      <c r="F228" s="515"/>
      <c r="G228" s="515"/>
      <c r="H228" s="515"/>
      <c r="I228" s="515"/>
      <c r="J228" s="515"/>
      <c r="K228" s="515"/>
      <c r="L228" s="515"/>
      <c r="M228" s="515"/>
      <c r="N228" s="515"/>
      <c r="O228" s="515"/>
      <c r="P228" s="515"/>
      <c r="Q228" s="515"/>
      <c r="R228" s="515"/>
      <c r="S228" s="515"/>
      <c r="T228" s="515"/>
      <c r="U228" s="515"/>
      <c r="V228" s="515"/>
      <c r="W228" s="515"/>
      <c r="X228" s="523"/>
      <c r="Y228" s="510">
        <v>50</v>
      </c>
      <c r="Z228" s="510"/>
      <c r="AA228" s="510"/>
      <c r="AB228" s="510"/>
      <c r="AC228" s="510"/>
      <c r="AD228" s="510"/>
      <c r="AE228" s="510"/>
      <c r="AF228" s="510"/>
      <c r="AG228" s="510"/>
      <c r="AH228" s="510"/>
      <c r="AI228" s="524">
        <v>350</v>
      </c>
      <c r="AJ228" s="524"/>
      <c r="AK228" s="524"/>
      <c r="AL228" s="524"/>
      <c r="AM228" s="524"/>
      <c r="AN228" s="524"/>
      <c r="AO228" s="524"/>
      <c r="AP228" s="524"/>
      <c r="AQ228" s="524"/>
      <c r="AR228" s="524"/>
      <c r="AS228" s="524"/>
    </row>
    <row r="229" spans="1:45" hidden="1">
      <c r="A229" s="516">
        <v>7</v>
      </c>
      <c r="B229" s="516"/>
      <c r="C229" s="516"/>
      <c r="D229" s="516"/>
      <c r="E229" s="515" t="str">
        <f t="shared" ref="E229:E230" si="10">E188</f>
        <v>Кронштейн</v>
      </c>
      <c r="F229" s="515"/>
      <c r="G229" s="515"/>
      <c r="H229" s="515"/>
      <c r="I229" s="515"/>
      <c r="J229" s="515"/>
      <c r="K229" s="515"/>
      <c r="L229" s="515"/>
      <c r="M229" s="515"/>
      <c r="N229" s="515"/>
      <c r="O229" s="515"/>
      <c r="P229" s="515"/>
      <c r="Q229" s="515"/>
      <c r="R229" s="515"/>
      <c r="S229" s="515"/>
      <c r="T229" s="515"/>
      <c r="U229" s="515"/>
      <c r="V229" s="515"/>
      <c r="W229" s="515"/>
      <c r="X229" s="523"/>
      <c r="Y229" s="510">
        <v>50</v>
      </c>
      <c r="Z229" s="510"/>
      <c r="AA229" s="510"/>
      <c r="AB229" s="510"/>
      <c r="AC229" s="510"/>
      <c r="AD229" s="510"/>
      <c r="AE229" s="510"/>
      <c r="AF229" s="510"/>
      <c r="AG229" s="510"/>
      <c r="AH229" s="510"/>
      <c r="AI229" s="524">
        <v>100</v>
      </c>
      <c r="AJ229" s="524"/>
      <c r="AK229" s="524"/>
      <c r="AL229" s="524"/>
      <c r="AM229" s="524"/>
      <c r="AN229" s="524"/>
      <c r="AO229" s="524"/>
      <c r="AP229" s="524"/>
      <c r="AQ229" s="524"/>
      <c r="AR229" s="524"/>
      <c r="AS229" s="524"/>
    </row>
    <row r="230" spans="1:45" hidden="1">
      <c r="A230" s="516">
        <v>8</v>
      </c>
      <c r="B230" s="516"/>
      <c r="C230" s="516"/>
      <c r="D230" s="516"/>
      <c r="E230" s="515" t="str">
        <f t="shared" si="10"/>
        <v>Башмак</v>
      </c>
      <c r="F230" s="515"/>
      <c r="G230" s="515"/>
      <c r="H230" s="515"/>
      <c r="I230" s="515"/>
      <c r="J230" s="515"/>
      <c r="K230" s="515"/>
      <c r="L230" s="515"/>
      <c r="M230" s="515"/>
      <c r="N230" s="515"/>
      <c r="O230" s="515"/>
      <c r="P230" s="515"/>
      <c r="Q230" s="515"/>
      <c r="R230" s="515"/>
      <c r="S230" s="515"/>
      <c r="T230" s="515"/>
      <c r="U230" s="515"/>
      <c r="V230" s="515"/>
      <c r="W230" s="515"/>
      <c r="X230" s="523"/>
      <c r="Y230" s="510">
        <v>50</v>
      </c>
      <c r="Z230" s="510"/>
      <c r="AA230" s="510"/>
      <c r="AB230" s="510"/>
      <c r="AC230" s="510"/>
      <c r="AD230" s="510"/>
      <c r="AE230" s="510"/>
      <c r="AF230" s="510"/>
      <c r="AG230" s="510"/>
      <c r="AH230" s="510"/>
      <c r="AI230" s="524">
        <v>50</v>
      </c>
      <c r="AJ230" s="524"/>
      <c r="AK230" s="524"/>
      <c r="AL230" s="524"/>
      <c r="AM230" s="524"/>
      <c r="AN230" s="524"/>
      <c r="AO230" s="524"/>
      <c r="AP230" s="524"/>
      <c r="AQ230" s="524"/>
      <c r="AR230" s="524"/>
      <c r="AS230" s="524"/>
    </row>
    <row r="231" spans="1:45">
      <c r="A231" s="516"/>
      <c r="B231" s="516"/>
      <c r="C231" s="516"/>
      <c r="D231" s="516"/>
      <c r="E231" s="518"/>
      <c r="F231" s="519"/>
      <c r="G231" s="519"/>
      <c r="H231" s="519"/>
      <c r="I231" s="519"/>
      <c r="J231" s="519"/>
      <c r="K231" s="519"/>
      <c r="L231" s="519"/>
      <c r="M231" s="519"/>
      <c r="N231" s="519"/>
      <c r="O231" s="519"/>
      <c r="P231" s="519"/>
      <c r="Q231" s="519"/>
      <c r="R231" s="519"/>
      <c r="S231" s="519"/>
      <c r="T231" s="519"/>
      <c r="U231" s="519"/>
      <c r="V231" s="519"/>
      <c r="W231" s="519"/>
      <c r="X231" s="520"/>
      <c r="Y231" s="521"/>
      <c r="Z231" s="521"/>
      <c r="AA231" s="521"/>
      <c r="AB231" s="521"/>
      <c r="AC231" s="521"/>
      <c r="AD231" s="521"/>
      <c r="AE231" s="521"/>
      <c r="AF231" s="521"/>
      <c r="AG231" s="521"/>
      <c r="AH231" s="521"/>
      <c r="AI231" s="522"/>
      <c r="AJ231" s="522"/>
      <c r="AK231" s="522"/>
      <c r="AL231" s="522"/>
      <c r="AM231" s="522"/>
      <c r="AN231" s="522"/>
      <c r="AO231" s="522"/>
      <c r="AP231" s="522"/>
      <c r="AQ231" s="522"/>
      <c r="AR231" s="522"/>
      <c r="AS231" s="522"/>
    </row>
    <row r="233" spans="1:45" ht="15.75" customHeight="1">
      <c r="A233" s="517" t="s">
        <v>403</v>
      </c>
      <c r="B233" s="517"/>
      <c r="C233" s="517"/>
      <c r="D233" s="517"/>
      <c r="E233" s="517"/>
      <c r="F233" s="517"/>
      <c r="G233" s="517"/>
      <c r="H233" s="517"/>
      <c r="I233" s="517"/>
      <c r="J233" s="517"/>
      <c r="K233" s="517"/>
      <c r="L233" s="517"/>
      <c r="M233" s="517"/>
      <c r="N233" s="517"/>
      <c r="O233" s="517"/>
      <c r="P233" s="517"/>
      <c r="Q233" s="517"/>
      <c r="R233" s="517"/>
      <c r="S233" s="517"/>
      <c r="T233" s="517"/>
      <c r="U233" s="517"/>
      <c r="V233" s="517"/>
      <c r="W233" s="517"/>
      <c r="X233" s="517"/>
      <c r="Y233" s="517"/>
      <c r="Z233" s="517"/>
      <c r="AA233" s="517"/>
      <c r="AB233" s="517"/>
      <c r="AC233" s="517"/>
      <c r="AD233" s="517"/>
      <c r="AE233" s="517"/>
      <c r="AF233" s="517"/>
      <c r="AG233" s="517"/>
      <c r="AH233" s="517"/>
      <c r="AI233" s="517"/>
      <c r="AJ233" s="517"/>
      <c r="AK233" s="517"/>
      <c r="AL233" s="517"/>
      <c r="AM233" s="517"/>
      <c r="AN233" s="517"/>
      <c r="AO233" s="517"/>
      <c r="AP233" s="517"/>
      <c r="AQ233" s="517"/>
      <c r="AR233" s="517"/>
      <c r="AS233" s="517"/>
    </row>
    <row r="234" spans="1:45">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c r="AA234" s="219"/>
      <c r="AB234" s="219"/>
      <c r="AC234" s="219"/>
      <c r="AD234" s="219"/>
      <c r="AE234" s="219"/>
      <c r="AF234" s="219"/>
      <c r="AG234" s="219"/>
      <c r="AH234" s="219"/>
      <c r="AI234" s="219"/>
      <c r="AJ234" s="219"/>
      <c r="AK234" s="219"/>
      <c r="AL234" s="219"/>
      <c r="AM234" s="219"/>
      <c r="AN234" s="219"/>
      <c r="AO234" s="219"/>
      <c r="AP234" s="219"/>
      <c r="AQ234" s="219"/>
      <c r="AR234" s="219"/>
      <c r="AS234" s="219"/>
    </row>
    <row r="235" spans="1:45">
      <c r="A235" s="219"/>
      <c r="B235" s="94" t="s">
        <v>116</v>
      </c>
      <c r="AF235" s="94" t="s">
        <v>117</v>
      </c>
      <c r="AQ235" s="219"/>
      <c r="AR235" s="219"/>
      <c r="AS235" s="219"/>
    </row>
    <row r="236" spans="1:45">
      <c r="A236" s="219"/>
      <c r="AQ236" s="219"/>
      <c r="AR236" s="219"/>
      <c r="AS236" s="219"/>
    </row>
    <row r="237" spans="1:45">
      <c r="A237" s="219"/>
      <c r="B237" s="97"/>
      <c r="C237" s="97"/>
      <c r="D237" s="97"/>
      <c r="E237" s="97"/>
      <c r="F237" s="97"/>
      <c r="G237" s="97"/>
      <c r="H237" s="97"/>
      <c r="I237" s="97"/>
      <c r="J237" s="97"/>
      <c r="K237" s="97"/>
      <c r="L237" s="97"/>
      <c r="M237" s="93" t="str">
        <f>BX4</f>
        <v>А.П. Выборных</v>
      </c>
      <c r="AF237" s="97"/>
      <c r="AG237" s="97"/>
      <c r="AH237" s="97"/>
      <c r="AI237" s="97"/>
      <c r="AJ237" s="97"/>
      <c r="AK237" s="97"/>
      <c r="AL237" s="97"/>
      <c r="AM237" s="97"/>
      <c r="AN237" s="97"/>
      <c r="AO237" s="97"/>
      <c r="AP237" s="97"/>
      <c r="AQ237" s="219"/>
      <c r="AR237" s="219"/>
      <c r="AS237" s="219"/>
    </row>
    <row r="238" spans="1:45">
      <c r="A238" s="219"/>
      <c r="AQ238" s="219"/>
      <c r="AR238" s="219"/>
      <c r="AS238" s="219"/>
    </row>
    <row r="239" spans="1:45">
      <c r="B239" s="94" t="s">
        <v>118</v>
      </c>
      <c r="AF239" s="94" t="s">
        <v>118</v>
      </c>
    </row>
    <row r="241" spans="1:46">
      <c r="A241" s="544" t="str">
        <f ca="1">CONCATENATE("Приложение №4 к договору аренды оборудования №",ДляДоговора!B2)</f>
        <v>Приложение №4 к договору аренды оборудования №30/03-А(23)</v>
      </c>
      <c r="B241" s="544"/>
      <c r="C241" s="544"/>
      <c r="D241" s="544"/>
      <c r="E241" s="544"/>
      <c r="F241" s="544"/>
      <c r="G241" s="544"/>
      <c r="H241" s="544"/>
      <c r="I241" s="544"/>
      <c r="J241" s="544"/>
      <c r="K241" s="544"/>
      <c r="L241" s="544"/>
      <c r="M241" s="544"/>
      <c r="N241" s="544"/>
      <c r="O241" s="544"/>
      <c r="P241" s="544"/>
      <c r="Q241" s="544"/>
      <c r="R241" s="544"/>
      <c r="S241" s="544"/>
      <c r="T241" s="544"/>
      <c r="U241" s="544"/>
      <c r="V241" s="544"/>
      <c r="W241" s="544"/>
      <c r="X241" s="544"/>
      <c r="Y241" s="544"/>
      <c r="Z241" s="544"/>
      <c r="AA241" s="544"/>
      <c r="AB241" s="544"/>
      <c r="AC241" s="544"/>
      <c r="AD241" s="544"/>
      <c r="AE241" s="544"/>
      <c r="AF241" s="544"/>
      <c r="AG241" s="544"/>
      <c r="AH241" s="544"/>
      <c r="AI241" s="544"/>
      <c r="AJ241" s="544"/>
      <c r="AK241" s="544"/>
      <c r="AL241" s="544"/>
      <c r="AM241" s="544"/>
      <c r="AN241" s="544"/>
      <c r="AO241" s="544"/>
      <c r="AP241" s="544"/>
      <c r="AQ241" s="544"/>
      <c r="AR241" s="544"/>
      <c r="AS241" s="544"/>
    </row>
    <row r="242" spans="1:46">
      <c r="AL242" s="197" t="str">
        <f ca="1">CONCATENATE("от ",ДляДоговора!B3)</f>
        <v>от 30 марта 2023г.</v>
      </c>
    </row>
    <row r="243" spans="1:46">
      <c r="V243" s="88"/>
    </row>
    <row r="244" spans="1:46">
      <c r="A244" s="545" t="str">
        <f>CONCATENATE("АКТ №",AV132," ПРИЕМА-ПЕРЕДАЧИ (ВОЗВРАТА) ОБОРУДОВАНИЯ")</f>
        <v>АКТ №1 ПРИЕМА-ПЕРЕДАЧИ (ВОЗВРАТА) ОБОРУДОВАНИЯ</v>
      </c>
      <c r="B244" s="545"/>
      <c r="C244" s="545"/>
      <c r="D244" s="545"/>
      <c r="E244" s="545"/>
      <c r="F244" s="545"/>
      <c r="G244" s="545"/>
      <c r="H244" s="545"/>
      <c r="I244" s="545"/>
      <c r="J244" s="545"/>
      <c r="K244" s="545"/>
      <c r="L244" s="545"/>
      <c r="M244" s="545"/>
      <c r="N244" s="545"/>
      <c r="O244" s="545"/>
      <c r="P244" s="545"/>
      <c r="Q244" s="545"/>
      <c r="R244" s="545"/>
      <c r="S244" s="545"/>
      <c r="T244" s="545"/>
      <c r="U244" s="545"/>
      <c r="V244" s="545"/>
      <c r="W244" s="545"/>
      <c r="X244" s="545"/>
      <c r="Y244" s="545"/>
      <c r="Z244" s="545"/>
      <c r="AA244" s="545"/>
      <c r="AB244" s="545"/>
      <c r="AC244" s="545"/>
      <c r="AD244" s="545"/>
      <c r="AE244" s="545"/>
      <c r="AF244" s="545"/>
      <c r="AG244" s="545"/>
      <c r="AH244" s="545"/>
      <c r="AI244" s="545"/>
      <c r="AJ244" s="545"/>
      <c r="AK244" s="545"/>
      <c r="AL244" s="545"/>
      <c r="AM244" s="545"/>
      <c r="AN244" s="545"/>
      <c r="AO244" s="545"/>
      <c r="AP244" s="545"/>
      <c r="AQ244" s="545"/>
      <c r="AR244" s="545"/>
      <c r="AS244" s="545"/>
    </row>
    <row r="245" spans="1:46">
      <c r="A245" s="216"/>
      <c r="B245" s="216"/>
      <c r="C245" s="216"/>
      <c r="D245" s="216"/>
      <c r="E245" s="216"/>
      <c r="F245" s="216"/>
      <c r="G245" s="216"/>
      <c r="H245" s="216"/>
      <c r="I245" s="216"/>
      <c r="J245" s="216"/>
      <c r="K245" s="216"/>
      <c r="L245" s="216"/>
      <c r="M245" s="216"/>
      <c r="N245" s="216"/>
      <c r="O245" s="216"/>
      <c r="P245" s="216"/>
      <c r="Q245" s="216"/>
      <c r="R245" s="216"/>
      <c r="S245" s="216"/>
      <c r="T245" s="216"/>
      <c r="U245" s="216"/>
      <c r="V245" s="216"/>
      <c r="W245" s="216"/>
      <c r="X245" s="216"/>
      <c r="Y245" s="216"/>
      <c r="Z245" s="216"/>
      <c r="AA245" s="216"/>
      <c r="AB245" s="216"/>
      <c r="AC245" s="216"/>
      <c r="AD245" s="216"/>
      <c r="AE245" s="216"/>
      <c r="AF245" s="216"/>
      <c r="AG245" s="216"/>
      <c r="AH245" s="216"/>
      <c r="AI245" s="216"/>
      <c r="AJ245" s="216"/>
      <c r="AK245" s="216"/>
      <c r="AL245" s="216"/>
      <c r="AM245" s="216"/>
      <c r="AN245" s="216"/>
      <c r="AO245" s="216"/>
      <c r="AP245" s="216"/>
      <c r="AQ245" s="216"/>
      <c r="AR245" s="216"/>
      <c r="AS245" s="216"/>
    </row>
    <row r="246" spans="1:46">
      <c r="A246" s="94" t="str">
        <f>ДляДоговора!B22</f>
        <v>г. Екатеринбург</v>
      </c>
      <c r="AH246" s="93" t="str">
        <f ca="1">CONCATENATE("«_____» _________ ",ДляДоговора!E4,"г.")</f>
        <v>«_____» _________ 2023г.</v>
      </c>
    </row>
    <row r="248" spans="1:46" ht="75" customHeight="1">
      <c r="A248" s="546" t="str">
        <f>CONCATENATE("ООО «УПСК», именуемое в дальнейшем «Арендодатель», в лице ",BX3," действующего на основании Устава, с одной стороны, и ",ДляДоговора!B4,", именуемое в дальнейшем «Арендатор», в лице ",ДляДоговора!B5," ",ДляДоговора!B6," действующего на основании ",ДляДоговора!B7,ДляДоговора!B8,", с другой стороны, составили настоящий Акт приема-передачи о нижеследующем:")</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составили настоящий Акт приема-передачи о нижеследующем:</v>
      </c>
      <c r="B248" s="546"/>
      <c r="C248" s="546"/>
      <c r="D248" s="546"/>
      <c r="E248" s="546"/>
      <c r="F248" s="546"/>
      <c r="G248" s="546"/>
      <c r="H248" s="546"/>
      <c r="I248" s="546"/>
      <c r="J248" s="546"/>
      <c r="K248" s="546"/>
      <c r="L248" s="546"/>
      <c r="M248" s="546"/>
      <c r="N248" s="546"/>
      <c r="O248" s="546"/>
      <c r="P248" s="546"/>
      <c r="Q248" s="546"/>
      <c r="R248" s="546"/>
      <c r="S248" s="546"/>
      <c r="T248" s="546"/>
      <c r="U248" s="546"/>
      <c r="V248" s="546"/>
      <c r="W248" s="546"/>
      <c r="X248" s="546"/>
      <c r="Y248" s="546"/>
      <c r="Z248" s="546"/>
      <c r="AA248" s="546"/>
      <c r="AB248" s="546"/>
      <c r="AC248" s="546"/>
      <c r="AD248" s="546"/>
      <c r="AE248" s="546"/>
      <c r="AF248" s="546"/>
      <c r="AG248" s="546"/>
      <c r="AH248" s="546"/>
      <c r="AI248" s="546"/>
      <c r="AJ248" s="546"/>
      <c r="AK248" s="546"/>
      <c r="AL248" s="546"/>
      <c r="AM248" s="546"/>
      <c r="AN248" s="546"/>
      <c r="AO248" s="546"/>
      <c r="AP248" s="546"/>
      <c r="AQ248" s="546"/>
      <c r="AR248" s="546"/>
      <c r="AS248" s="546"/>
    </row>
    <row r="249" spans="1:46" ht="30" customHeight="1">
      <c r="A249" s="543" t="s">
        <v>423</v>
      </c>
      <c r="B249" s="543"/>
      <c r="C249" s="543"/>
      <c r="D249" s="543"/>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c r="AA249" s="543"/>
      <c r="AB249" s="543"/>
      <c r="AC249" s="543"/>
      <c r="AD249" s="543"/>
      <c r="AE249" s="543"/>
      <c r="AF249" s="543"/>
      <c r="AG249" s="543"/>
      <c r="AH249" s="543"/>
      <c r="AI249" s="543"/>
      <c r="AJ249" s="543"/>
      <c r="AK249" s="543"/>
      <c r="AL249" s="543"/>
      <c r="AM249" s="543"/>
      <c r="AN249" s="543"/>
      <c r="AO249" s="543"/>
      <c r="AP249" s="543"/>
      <c r="AQ249" s="543"/>
      <c r="AR249" s="543"/>
      <c r="AS249" s="543"/>
      <c r="AT249" s="543"/>
    </row>
    <row r="250" spans="1:46">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c r="AA250" s="217"/>
      <c r="AB250" s="217"/>
      <c r="AC250" s="217"/>
      <c r="AD250" s="217"/>
      <c r="AE250" s="217"/>
      <c r="AF250" s="217"/>
      <c r="AG250" s="217"/>
      <c r="AH250" s="217"/>
      <c r="AI250" s="217"/>
      <c r="AJ250" s="217"/>
      <c r="AK250" s="217"/>
      <c r="AL250" s="217"/>
      <c r="AM250" s="217"/>
      <c r="AN250" s="217"/>
      <c r="AO250" s="217"/>
      <c r="AP250" s="217"/>
      <c r="AQ250" s="217"/>
      <c r="AR250" s="217"/>
      <c r="AS250" s="217"/>
      <c r="AT250" s="217"/>
    </row>
    <row r="251" spans="1:46" ht="30" customHeight="1">
      <c r="A251" s="537" t="s">
        <v>121</v>
      </c>
      <c r="B251" s="537"/>
      <c r="C251" s="537"/>
      <c r="D251" s="539"/>
      <c r="E251" s="537" t="s">
        <v>31</v>
      </c>
      <c r="F251" s="537"/>
      <c r="G251" s="537"/>
      <c r="H251" s="537"/>
      <c r="I251" s="537"/>
      <c r="J251" s="537"/>
      <c r="K251" s="537"/>
      <c r="L251" s="537"/>
      <c r="M251" s="537"/>
      <c r="N251" s="537"/>
      <c r="O251" s="537"/>
      <c r="P251" s="537"/>
      <c r="Q251" s="539"/>
      <c r="R251" s="536" t="s">
        <v>547</v>
      </c>
      <c r="S251" s="537"/>
      <c r="T251" s="537"/>
      <c r="U251" s="537"/>
      <c r="V251" s="537"/>
      <c r="W251" s="537"/>
      <c r="X251" s="536" t="s">
        <v>545</v>
      </c>
      <c r="Y251" s="537"/>
      <c r="Z251" s="537"/>
      <c r="AA251" s="537"/>
      <c r="AB251" s="537"/>
      <c r="AC251" s="537"/>
      <c r="AD251" s="536" t="s">
        <v>546</v>
      </c>
      <c r="AE251" s="536"/>
      <c r="AF251" s="536"/>
      <c r="AG251" s="536"/>
      <c r="AH251" s="536"/>
      <c r="AI251" s="540" t="s">
        <v>122</v>
      </c>
      <c r="AJ251" s="536"/>
      <c r="AK251" s="536"/>
      <c r="AL251" s="536"/>
      <c r="AM251" s="536"/>
      <c r="AN251" s="536"/>
      <c r="AO251" s="536" t="s">
        <v>548</v>
      </c>
      <c r="AP251" s="537"/>
      <c r="AQ251" s="537"/>
      <c r="AR251" s="537"/>
      <c r="AS251" s="537"/>
    </row>
    <row r="252" spans="1:46">
      <c r="A252" s="530">
        <v>1</v>
      </c>
      <c r="B252" s="530"/>
      <c r="C252" s="530"/>
      <c r="D252" s="531"/>
      <c r="E252" s="534" t="s">
        <v>124</v>
      </c>
      <c r="F252" s="534"/>
      <c r="G252" s="534"/>
      <c r="H252" s="534"/>
      <c r="I252" s="534"/>
      <c r="J252" s="534"/>
      <c r="K252" s="534"/>
      <c r="L252" s="534"/>
      <c r="M252" s="534"/>
      <c r="N252" s="534"/>
      <c r="O252" s="534"/>
      <c r="P252" s="534"/>
      <c r="Q252" s="535"/>
      <c r="R252" s="538">
        <f>'Расчет лесов'!B8</f>
        <v>4</v>
      </c>
      <c r="S252" s="538"/>
      <c r="T252" s="538"/>
      <c r="U252" s="538"/>
      <c r="V252" s="538"/>
      <c r="W252" s="538"/>
      <c r="X252" s="538"/>
      <c r="Y252" s="538"/>
      <c r="Z252" s="538"/>
      <c r="AA252" s="538"/>
      <c r="AB252" s="538"/>
      <c r="AC252" s="538"/>
      <c r="AD252" s="530"/>
      <c r="AE252" s="530"/>
      <c r="AF252" s="530"/>
      <c r="AG252" s="530"/>
      <c r="AH252" s="530"/>
      <c r="AI252" s="541">
        <f>'Расчет лесов'!C$8</f>
        <v>1400</v>
      </c>
      <c r="AJ252" s="542"/>
      <c r="AK252" s="542"/>
      <c r="AL252" s="542"/>
      <c r="AM252" s="542"/>
      <c r="AN252" s="542"/>
      <c r="AO252" s="537"/>
      <c r="AP252" s="537"/>
      <c r="AQ252" s="537"/>
      <c r="AR252" s="537"/>
      <c r="AS252" s="537"/>
    </row>
    <row r="253" spans="1:46">
      <c r="A253" s="530">
        <v>2</v>
      </c>
      <c r="B253" s="530"/>
      <c r="C253" s="530"/>
      <c r="D253" s="531"/>
      <c r="E253" s="534" t="s">
        <v>125</v>
      </c>
      <c r="F253" s="534"/>
      <c r="G253" s="534"/>
      <c r="H253" s="534"/>
      <c r="I253" s="534"/>
      <c r="J253" s="534"/>
      <c r="K253" s="534"/>
      <c r="L253" s="534"/>
      <c r="M253" s="534"/>
      <c r="N253" s="534"/>
      <c r="O253" s="534"/>
      <c r="P253" s="534"/>
      <c r="Q253" s="535"/>
      <c r="R253" s="538">
        <f>'Расчет лесов'!B9</f>
        <v>4</v>
      </c>
      <c r="S253" s="538"/>
      <c r="T253" s="538"/>
      <c r="U253" s="538"/>
      <c r="V253" s="538"/>
      <c r="W253" s="538"/>
      <c r="X253" s="538"/>
      <c r="Y253" s="538"/>
      <c r="Z253" s="538"/>
      <c r="AA253" s="538"/>
      <c r="AB253" s="538"/>
      <c r="AC253" s="538"/>
      <c r="AD253" s="530"/>
      <c r="AE253" s="530"/>
      <c r="AF253" s="530"/>
      <c r="AG253" s="530"/>
      <c r="AH253" s="530"/>
      <c r="AI253" s="541">
        <f>'Расчет лесов'!C$9</f>
        <v>1670</v>
      </c>
      <c r="AJ253" s="542"/>
      <c r="AK253" s="542"/>
      <c r="AL253" s="542"/>
      <c r="AM253" s="542"/>
      <c r="AN253" s="542"/>
      <c r="AO253" s="537"/>
      <c r="AP253" s="537"/>
      <c r="AQ253" s="537"/>
      <c r="AR253" s="537"/>
      <c r="AS253" s="537"/>
    </row>
    <row r="254" spans="1:46">
      <c r="A254" s="530">
        <v>3</v>
      </c>
      <c r="B254" s="530"/>
      <c r="C254" s="530"/>
      <c r="D254" s="531"/>
      <c r="E254" s="534" t="s">
        <v>126</v>
      </c>
      <c r="F254" s="534"/>
      <c r="G254" s="534"/>
      <c r="H254" s="534"/>
      <c r="I254" s="534"/>
      <c r="J254" s="534"/>
      <c r="K254" s="534"/>
      <c r="L254" s="534"/>
      <c r="M254" s="534"/>
      <c r="N254" s="534"/>
      <c r="O254" s="534"/>
      <c r="P254" s="534"/>
      <c r="Q254" s="535"/>
      <c r="R254" s="538">
        <f>'Расчет лесов'!B10</f>
        <v>4</v>
      </c>
      <c r="S254" s="538"/>
      <c r="T254" s="538"/>
      <c r="U254" s="538"/>
      <c r="V254" s="538"/>
      <c r="W254" s="538"/>
      <c r="X254" s="538"/>
      <c r="Y254" s="538"/>
      <c r="Z254" s="538"/>
      <c r="AA254" s="538"/>
      <c r="AB254" s="538"/>
      <c r="AC254" s="538"/>
      <c r="AD254" s="530"/>
      <c r="AE254" s="530"/>
      <c r="AF254" s="530"/>
      <c r="AG254" s="530"/>
      <c r="AH254" s="530"/>
      <c r="AI254" s="541">
        <f>'Расчет лесов'!C$10</f>
        <v>630</v>
      </c>
      <c r="AJ254" s="542"/>
      <c r="AK254" s="542"/>
      <c r="AL254" s="542"/>
      <c r="AM254" s="542"/>
      <c r="AN254" s="542"/>
      <c r="AO254" s="537"/>
      <c r="AP254" s="537"/>
      <c r="AQ254" s="537"/>
      <c r="AR254" s="537"/>
      <c r="AS254" s="537"/>
    </row>
    <row r="255" spans="1:46">
      <c r="A255" s="530">
        <v>4</v>
      </c>
      <c r="B255" s="530"/>
      <c r="C255" s="530"/>
      <c r="D255" s="531"/>
      <c r="E255" s="534" t="s">
        <v>127</v>
      </c>
      <c r="F255" s="534"/>
      <c r="G255" s="534"/>
      <c r="H255" s="534"/>
      <c r="I255" s="534"/>
      <c r="J255" s="534"/>
      <c r="K255" s="534"/>
      <c r="L255" s="534"/>
      <c r="M255" s="534"/>
      <c r="N255" s="534"/>
      <c r="O255" s="534"/>
      <c r="P255" s="534"/>
      <c r="Q255" s="535"/>
      <c r="R255" s="538">
        <f>'Расчет лесов'!B11</f>
        <v>4</v>
      </c>
      <c r="S255" s="538"/>
      <c r="T255" s="538"/>
      <c r="U255" s="538"/>
      <c r="V255" s="538"/>
      <c r="W255" s="538"/>
      <c r="X255" s="538"/>
      <c r="Y255" s="538"/>
      <c r="Z255" s="538"/>
      <c r="AA255" s="538"/>
      <c r="AB255" s="538"/>
      <c r="AC255" s="538"/>
      <c r="AD255" s="530"/>
      <c r="AE255" s="530"/>
      <c r="AF255" s="530"/>
      <c r="AG255" s="530"/>
      <c r="AH255" s="530"/>
      <c r="AI255" s="541">
        <f>'Расчет лесов'!C$11</f>
        <v>320</v>
      </c>
      <c r="AJ255" s="542"/>
      <c r="AK255" s="542"/>
      <c r="AL255" s="542"/>
      <c r="AM255" s="542"/>
      <c r="AN255" s="542"/>
      <c r="AO255" s="537"/>
      <c r="AP255" s="537"/>
      <c r="AQ255" s="537"/>
      <c r="AR255" s="537"/>
      <c r="AS255" s="537"/>
    </row>
    <row r="256" spans="1:46">
      <c r="A256" s="530">
        <v>5</v>
      </c>
      <c r="B256" s="530"/>
      <c r="C256" s="530"/>
      <c r="D256" s="531"/>
      <c r="E256" s="534" t="s">
        <v>128</v>
      </c>
      <c r="F256" s="534"/>
      <c r="G256" s="534"/>
      <c r="H256" s="534"/>
      <c r="I256" s="534"/>
      <c r="J256" s="534"/>
      <c r="K256" s="534"/>
      <c r="L256" s="534"/>
      <c r="M256" s="534"/>
      <c r="N256" s="534"/>
      <c r="O256" s="534"/>
      <c r="P256" s="534"/>
      <c r="Q256" s="535"/>
      <c r="R256" s="538">
        <f>'Расчет лесов'!B12</f>
        <v>12</v>
      </c>
      <c r="S256" s="538"/>
      <c r="T256" s="538"/>
      <c r="U256" s="538"/>
      <c r="V256" s="538"/>
      <c r="W256" s="538"/>
      <c r="X256" s="538"/>
      <c r="Y256" s="538"/>
      <c r="Z256" s="538"/>
      <c r="AA256" s="538"/>
      <c r="AB256" s="538"/>
      <c r="AC256" s="538"/>
      <c r="AD256" s="530"/>
      <c r="AE256" s="530"/>
      <c r="AF256" s="530"/>
      <c r="AG256" s="530"/>
      <c r="AH256" s="530"/>
      <c r="AI256" s="541">
        <f>'Расчет лесов'!C$12</f>
        <v>450</v>
      </c>
      <c r="AJ256" s="542"/>
      <c r="AK256" s="542"/>
      <c r="AL256" s="542"/>
      <c r="AM256" s="542"/>
      <c r="AN256" s="542"/>
      <c r="AO256" s="537"/>
      <c r="AP256" s="537"/>
      <c r="AQ256" s="537"/>
      <c r="AR256" s="537"/>
      <c r="AS256" s="537"/>
    </row>
    <row r="257" spans="1:45">
      <c r="A257" s="530">
        <v>6</v>
      </c>
      <c r="B257" s="530"/>
      <c r="C257" s="530"/>
      <c r="D257" s="531"/>
      <c r="E257" s="534" t="str">
        <f>E187</f>
        <v>Ригель для настила</v>
      </c>
      <c r="F257" s="534"/>
      <c r="G257" s="534"/>
      <c r="H257" s="534"/>
      <c r="I257" s="534"/>
      <c r="J257" s="534"/>
      <c r="K257" s="534"/>
      <c r="L257" s="534"/>
      <c r="M257" s="534"/>
      <c r="N257" s="534"/>
      <c r="O257" s="534"/>
      <c r="P257" s="534"/>
      <c r="Q257" s="535"/>
      <c r="R257" s="538">
        <f>'Расчет лесов'!B13</f>
        <v>8</v>
      </c>
      <c r="S257" s="538"/>
      <c r="T257" s="538"/>
      <c r="U257" s="538"/>
      <c r="V257" s="538"/>
      <c r="W257" s="538"/>
      <c r="X257" s="538"/>
      <c r="Y257" s="538"/>
      <c r="Z257" s="538"/>
      <c r="AA257" s="538"/>
      <c r="AB257" s="538"/>
      <c r="AC257" s="538"/>
      <c r="AD257" s="530"/>
      <c r="AE257" s="530"/>
      <c r="AF257" s="530"/>
      <c r="AG257" s="530"/>
      <c r="AH257" s="530"/>
      <c r="AI257" s="541">
        <f>'Расчет лесов'!C$13</f>
        <v>1120</v>
      </c>
      <c r="AJ257" s="542"/>
      <c r="AK257" s="542"/>
      <c r="AL257" s="542"/>
      <c r="AM257" s="542"/>
      <c r="AN257" s="542"/>
      <c r="AO257" s="537"/>
      <c r="AP257" s="537"/>
      <c r="AQ257" s="537"/>
      <c r="AR257" s="537"/>
      <c r="AS257" s="537"/>
    </row>
    <row r="258" spans="1:45" hidden="1">
      <c r="A258" s="530">
        <v>7</v>
      </c>
      <c r="B258" s="530"/>
      <c r="C258" s="530"/>
      <c r="D258" s="531"/>
      <c r="E258" s="534" t="str">
        <f t="shared" ref="E258:E259" si="11">E188</f>
        <v>Кронштейн</v>
      </c>
      <c r="F258" s="534"/>
      <c r="G258" s="534"/>
      <c r="H258" s="534"/>
      <c r="I258" s="534"/>
      <c r="J258" s="534"/>
      <c r="K258" s="534"/>
      <c r="L258" s="534"/>
      <c r="M258" s="534"/>
      <c r="N258" s="534"/>
      <c r="O258" s="534"/>
      <c r="P258" s="534"/>
      <c r="Q258" s="535"/>
      <c r="R258" s="538">
        <f>'Расчет лесов'!B14</f>
        <v>0</v>
      </c>
      <c r="S258" s="538"/>
      <c r="T258" s="538"/>
      <c r="U258" s="538"/>
      <c r="V258" s="538"/>
      <c r="W258" s="538"/>
      <c r="X258" s="538"/>
      <c r="Y258" s="538"/>
      <c r="Z258" s="538"/>
      <c r="AA258" s="538"/>
      <c r="AB258" s="538"/>
      <c r="AC258" s="538"/>
      <c r="AD258" s="530"/>
      <c r="AE258" s="530"/>
      <c r="AF258" s="530"/>
      <c r="AG258" s="530"/>
      <c r="AH258" s="530"/>
      <c r="AI258" s="541">
        <f>'Расчет лесов'!C$14</f>
        <v>200</v>
      </c>
      <c r="AJ258" s="542"/>
      <c r="AK258" s="542"/>
      <c r="AL258" s="542"/>
      <c r="AM258" s="542"/>
      <c r="AN258" s="542"/>
      <c r="AO258" s="537"/>
      <c r="AP258" s="537"/>
      <c r="AQ258" s="537"/>
      <c r="AR258" s="537"/>
      <c r="AS258" s="537"/>
    </row>
    <row r="259" spans="1:45" hidden="1">
      <c r="A259" s="530">
        <v>8</v>
      </c>
      <c r="B259" s="530"/>
      <c r="C259" s="530"/>
      <c r="D259" s="531"/>
      <c r="E259" s="534" t="str">
        <f t="shared" si="11"/>
        <v>Башмак</v>
      </c>
      <c r="F259" s="534"/>
      <c r="G259" s="534"/>
      <c r="H259" s="534"/>
      <c r="I259" s="534"/>
      <c r="J259" s="534"/>
      <c r="K259" s="534"/>
      <c r="L259" s="534"/>
      <c r="M259" s="534"/>
      <c r="N259" s="534"/>
      <c r="O259" s="534"/>
      <c r="P259" s="534"/>
      <c r="Q259" s="535"/>
      <c r="R259" s="538">
        <f>'Расчет лесов'!B15</f>
        <v>0</v>
      </c>
      <c r="S259" s="538"/>
      <c r="T259" s="538"/>
      <c r="U259" s="538"/>
      <c r="V259" s="538"/>
      <c r="W259" s="538"/>
      <c r="X259" s="538"/>
      <c r="Y259" s="538"/>
      <c r="Z259" s="538"/>
      <c r="AA259" s="538"/>
      <c r="AB259" s="538"/>
      <c r="AC259" s="538"/>
      <c r="AD259" s="530"/>
      <c r="AE259" s="530"/>
      <c r="AF259" s="530"/>
      <c r="AG259" s="530"/>
      <c r="AH259" s="530"/>
      <c r="AI259" s="541">
        <f>'Расчет лесов'!C$15</f>
        <v>150</v>
      </c>
      <c r="AJ259" s="542"/>
      <c r="AK259" s="542"/>
      <c r="AL259" s="542"/>
      <c r="AM259" s="542"/>
      <c r="AN259" s="542"/>
      <c r="AO259" s="537"/>
      <c r="AP259" s="537"/>
      <c r="AQ259" s="537"/>
      <c r="AR259" s="537"/>
      <c r="AS259" s="537"/>
    </row>
    <row r="260" spans="1:45">
      <c r="A260" s="525"/>
      <c r="B260" s="525"/>
      <c r="C260" s="525"/>
      <c r="D260" s="526"/>
      <c r="E260" s="527"/>
      <c r="F260" s="528"/>
      <c r="G260" s="528"/>
      <c r="H260" s="528"/>
      <c r="I260" s="528"/>
      <c r="J260" s="528"/>
      <c r="K260" s="528"/>
      <c r="L260" s="528"/>
      <c r="M260" s="528"/>
      <c r="N260" s="528"/>
      <c r="O260" s="528"/>
      <c r="P260" s="528"/>
      <c r="Q260" s="528"/>
      <c r="R260" s="529"/>
      <c r="S260" s="529"/>
      <c r="T260" s="529"/>
      <c r="U260" s="529"/>
      <c r="V260" s="529"/>
      <c r="W260" s="529"/>
      <c r="X260" s="529"/>
      <c r="Y260" s="321"/>
      <c r="Z260" s="321"/>
      <c r="AA260" s="321"/>
      <c r="AB260" s="321"/>
      <c r="AC260" s="321"/>
      <c r="AD260" s="321"/>
      <c r="AE260" s="321"/>
      <c r="AF260" s="97"/>
      <c r="AG260" s="322"/>
      <c r="AH260" s="322"/>
      <c r="AI260" s="532" t="s">
        <v>400</v>
      </c>
      <c r="AJ260" s="532"/>
      <c r="AK260" s="532"/>
      <c r="AL260" s="532"/>
      <c r="AM260" s="532"/>
      <c r="AN260" s="533"/>
      <c r="AO260" s="537"/>
      <c r="AP260" s="537"/>
      <c r="AQ260" s="537"/>
      <c r="AR260" s="537"/>
      <c r="AS260" s="537"/>
    </row>
    <row r="262" spans="1:45">
      <c r="A262" s="543" t="s">
        <v>424</v>
      </c>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c r="AB262" s="543"/>
      <c r="AC262" s="543"/>
      <c r="AD262" s="543"/>
      <c r="AE262" s="543"/>
      <c r="AF262" s="543"/>
      <c r="AG262" s="543"/>
      <c r="AH262" s="543"/>
      <c r="AI262" s="543"/>
      <c r="AJ262" s="543"/>
      <c r="AK262" s="543"/>
      <c r="AL262" s="543"/>
      <c r="AM262" s="543"/>
      <c r="AN262" s="543"/>
      <c r="AO262" s="543"/>
      <c r="AP262" s="543"/>
      <c r="AQ262" s="543"/>
      <c r="AR262" s="543"/>
      <c r="AS262" s="543"/>
    </row>
    <row r="263" spans="1:45">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c r="AB263" s="543"/>
      <c r="AC263" s="543"/>
      <c r="AD263" s="543"/>
      <c r="AE263" s="543"/>
      <c r="AF263" s="543"/>
      <c r="AG263" s="543"/>
      <c r="AH263" s="543"/>
      <c r="AI263" s="543"/>
      <c r="AJ263" s="543"/>
      <c r="AK263" s="543"/>
      <c r="AL263" s="543"/>
      <c r="AM263" s="543"/>
      <c r="AN263" s="543"/>
      <c r="AO263" s="543"/>
      <c r="AP263" s="543"/>
      <c r="AQ263" s="543"/>
      <c r="AR263" s="543"/>
      <c r="AS263" s="543"/>
    </row>
    <row r="264" spans="1:45" ht="15.75" customHeight="1">
      <c r="A264" s="517" t="s">
        <v>403</v>
      </c>
      <c r="B264" s="517"/>
      <c r="C264" s="517"/>
      <c r="D264" s="517"/>
      <c r="E264" s="517"/>
      <c r="F264" s="517"/>
      <c r="G264" s="517"/>
      <c r="H264" s="517"/>
      <c r="I264" s="517"/>
      <c r="J264" s="517"/>
      <c r="K264" s="517"/>
      <c r="L264" s="517"/>
      <c r="M264" s="517"/>
      <c r="N264" s="517"/>
      <c r="O264" s="517"/>
      <c r="P264" s="517"/>
      <c r="Q264" s="517"/>
      <c r="R264" s="517"/>
      <c r="S264" s="517"/>
      <c r="T264" s="517"/>
      <c r="U264" s="517"/>
      <c r="V264" s="517"/>
      <c r="W264" s="517"/>
      <c r="X264" s="517"/>
      <c r="Y264" s="517"/>
      <c r="Z264" s="517"/>
      <c r="AA264" s="517"/>
      <c r="AB264" s="517"/>
      <c r="AC264" s="517"/>
      <c r="AD264" s="517"/>
      <c r="AE264" s="517"/>
      <c r="AF264" s="517"/>
      <c r="AG264" s="517"/>
      <c r="AH264" s="517"/>
      <c r="AI264" s="517"/>
      <c r="AJ264" s="517"/>
      <c r="AK264" s="517"/>
      <c r="AL264" s="517"/>
      <c r="AM264" s="517"/>
      <c r="AN264" s="517"/>
      <c r="AO264" s="517"/>
      <c r="AP264" s="517"/>
      <c r="AQ264" s="517"/>
      <c r="AR264" s="517"/>
      <c r="AS264" s="517"/>
    </row>
    <row r="265" spans="1:45">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219"/>
      <c r="AH265" s="219"/>
      <c r="AI265" s="219"/>
      <c r="AJ265" s="219"/>
      <c r="AK265" s="219"/>
      <c r="AL265" s="219"/>
      <c r="AM265" s="219"/>
      <c r="AN265" s="219"/>
      <c r="AO265" s="219"/>
      <c r="AP265" s="219"/>
      <c r="AQ265" s="219"/>
      <c r="AR265" s="219"/>
      <c r="AS265" s="219"/>
    </row>
    <row r="266" spans="1:45">
      <c r="A266" s="219"/>
      <c r="B266" s="94" t="s">
        <v>116</v>
      </c>
      <c r="AF266" s="94" t="s">
        <v>117</v>
      </c>
      <c r="AQ266" s="219"/>
      <c r="AR266" s="219"/>
      <c r="AS266" s="219"/>
    </row>
    <row r="267" spans="1:45">
      <c r="A267" s="219"/>
      <c r="AQ267" s="219"/>
      <c r="AR267" s="219"/>
      <c r="AS267" s="219"/>
    </row>
    <row r="268" spans="1:45">
      <c r="A268" s="219"/>
      <c r="B268" s="97"/>
      <c r="C268" s="97"/>
      <c r="D268" s="97"/>
      <c r="E268" s="97"/>
      <c r="F268" s="97"/>
      <c r="G268" s="97"/>
      <c r="H268" s="97"/>
      <c r="I268" s="97"/>
      <c r="J268" s="97"/>
      <c r="K268" s="97"/>
      <c r="L268" s="97"/>
      <c r="AF268" s="97"/>
      <c r="AG268" s="97"/>
      <c r="AH268" s="97"/>
      <c r="AI268" s="97"/>
      <c r="AJ268" s="97"/>
      <c r="AK268" s="97"/>
      <c r="AL268" s="97"/>
      <c r="AM268" s="97"/>
      <c r="AN268" s="97"/>
      <c r="AO268" s="97"/>
      <c r="AP268" s="97"/>
      <c r="AQ268" s="219"/>
      <c r="AR268" s="219"/>
      <c r="AS268" s="219"/>
    </row>
    <row r="269" spans="1:45">
      <c r="A269" s="219"/>
      <c r="AQ269" s="219"/>
      <c r="AR269" s="219"/>
      <c r="AS269" s="219"/>
    </row>
    <row r="270" spans="1:45">
      <c r="B270" s="94" t="s">
        <v>118</v>
      </c>
      <c r="AF270" s="94" t="s">
        <v>118</v>
      </c>
    </row>
  </sheetData>
  <mergeCells count="366">
    <mergeCell ref="A70:AS70"/>
    <mergeCell ref="A78:AS78"/>
    <mergeCell ref="A195:AS195"/>
    <mergeCell ref="A196:AS196"/>
    <mergeCell ref="A223:D223"/>
    <mergeCell ref="E223:X223"/>
    <mergeCell ref="A156:AL156"/>
    <mergeCell ref="AM156:AS156"/>
    <mergeCell ref="A157:AL157"/>
    <mergeCell ref="A185:D185"/>
    <mergeCell ref="X254:AC254"/>
    <mergeCell ref="E185:X185"/>
    <mergeCell ref="Y185:AE185"/>
    <mergeCell ref="AF185:AL185"/>
    <mergeCell ref="AM185:AS185"/>
    <mergeCell ref="A184:D184"/>
    <mergeCell ref="E184:X184"/>
    <mergeCell ref="Y184:AE184"/>
    <mergeCell ref="AF184:AL184"/>
    <mergeCell ref="AM184:AS184"/>
    <mergeCell ref="A183:D183"/>
    <mergeCell ref="E183:X183"/>
    <mergeCell ref="Y183:AE183"/>
    <mergeCell ref="AF183:AL183"/>
    <mergeCell ref="AM183:AS183"/>
    <mergeCell ref="A182:D182"/>
    <mergeCell ref="X255:AC255"/>
    <mergeCell ref="A188:D188"/>
    <mergeCell ref="A189:D189"/>
    <mergeCell ref="E188:X188"/>
    <mergeCell ref="E189:X189"/>
    <mergeCell ref="Y188:AE188"/>
    <mergeCell ref="Y189:AE189"/>
    <mergeCell ref="AF188:AL188"/>
    <mergeCell ref="AF189:AL189"/>
    <mergeCell ref="A192:AS192"/>
    <mergeCell ref="A193:AS193"/>
    <mergeCell ref="A194:AS194"/>
    <mergeCell ref="A197:AS197"/>
    <mergeCell ref="A198:AS198"/>
    <mergeCell ref="A190:D190"/>
    <mergeCell ref="E190:X190"/>
    <mergeCell ref="Y190:AE190"/>
    <mergeCell ref="AF190:AL190"/>
    <mergeCell ref="AM190:AS190"/>
    <mergeCell ref="A215:AS215"/>
    <mergeCell ref="A222:D222"/>
    <mergeCell ref="E222:X222"/>
    <mergeCell ref="Y225:AH225"/>
    <mergeCell ref="A199:AS199"/>
    <mergeCell ref="A80:AS80"/>
    <mergeCell ref="A81:AS81"/>
    <mergeCell ref="A82:AS82"/>
    <mergeCell ref="A66:AS66"/>
    <mergeCell ref="AM188:AS188"/>
    <mergeCell ref="AM189:AS189"/>
    <mergeCell ref="A147:B147"/>
    <mergeCell ref="A148:B148"/>
    <mergeCell ref="C147:S147"/>
    <mergeCell ref="C148:S148"/>
    <mergeCell ref="T147:W147"/>
    <mergeCell ref="T148:W148"/>
    <mergeCell ref="X147:AC147"/>
    <mergeCell ref="X148:AC148"/>
    <mergeCell ref="AD147:AI147"/>
    <mergeCell ref="AD148:AI148"/>
    <mergeCell ref="A178:AS178"/>
    <mergeCell ref="A179:AS179"/>
    <mergeCell ref="A171:AS171"/>
    <mergeCell ref="A174:AS174"/>
    <mergeCell ref="AM157:AS157"/>
    <mergeCell ref="A158:AL158"/>
    <mergeCell ref="AM158:AS158"/>
    <mergeCell ref="A155:AS155"/>
    <mergeCell ref="A23:AS23"/>
    <mergeCell ref="A22:AS22"/>
    <mergeCell ref="A71:AS71"/>
    <mergeCell ref="A73:AS73"/>
    <mergeCell ref="A74:AS74"/>
    <mergeCell ref="A75:AS75"/>
    <mergeCell ref="A76:AS76"/>
    <mergeCell ref="A77:AS77"/>
    <mergeCell ref="A79:AS79"/>
    <mergeCell ref="A49:AS49"/>
    <mergeCell ref="A50:AS50"/>
    <mergeCell ref="A51:AS51"/>
    <mergeCell ref="A52:AS52"/>
    <mergeCell ref="A72:AS72"/>
    <mergeCell ref="A54:AS54"/>
    <mergeCell ref="A55:AS55"/>
    <mergeCell ref="A57:AS57"/>
    <mergeCell ref="A58:AS58"/>
    <mergeCell ref="A68:AS68"/>
    <mergeCell ref="A69:AS69"/>
    <mergeCell ref="A67:AS67"/>
    <mergeCell ref="A60:AS60"/>
    <mergeCell ref="A63:AS63"/>
    <mergeCell ref="A61:AS61"/>
    <mergeCell ref="BK2:BL2"/>
    <mergeCell ref="A13:AS13"/>
    <mergeCell ref="A18:AS18"/>
    <mergeCell ref="A31:AS31"/>
    <mergeCell ref="AK5:AT5"/>
    <mergeCell ref="A42:AS42"/>
    <mergeCell ref="A43:AS43"/>
    <mergeCell ref="A56:AS56"/>
    <mergeCell ref="A21:AS21"/>
    <mergeCell ref="A53:AS53"/>
    <mergeCell ref="A3:AS3"/>
    <mergeCell ref="A7:AS11"/>
    <mergeCell ref="A14:AS16"/>
    <mergeCell ref="A26:AS26"/>
    <mergeCell ref="A29:AS29"/>
    <mergeCell ref="A28:AS28"/>
    <mergeCell ref="A27:AS27"/>
    <mergeCell ref="A17:AS17"/>
    <mergeCell ref="A20:AS20"/>
    <mergeCell ref="A33:AS33"/>
    <mergeCell ref="A32:AS32"/>
    <mergeCell ref="A30:AS30"/>
    <mergeCell ref="A25:AS25"/>
    <mergeCell ref="A24:AS24"/>
    <mergeCell ref="A62:AS62"/>
    <mergeCell ref="A64:AS64"/>
    <mergeCell ref="A65:AS65"/>
    <mergeCell ref="A44:AS44"/>
    <mergeCell ref="A35:AS35"/>
    <mergeCell ref="A41:AS41"/>
    <mergeCell ref="A37:AS37"/>
    <mergeCell ref="A38:AS38"/>
    <mergeCell ref="A45:AS45"/>
    <mergeCell ref="A46:AS46"/>
    <mergeCell ref="A47:AS47"/>
    <mergeCell ref="A48:AS48"/>
    <mergeCell ref="A39:AS39"/>
    <mergeCell ref="A40:AS40"/>
    <mergeCell ref="A129:AS129"/>
    <mergeCell ref="A132:AS132"/>
    <mergeCell ref="A137:AT137"/>
    <mergeCell ref="A83:AS83"/>
    <mergeCell ref="A84:AS84"/>
    <mergeCell ref="A90:AS90"/>
    <mergeCell ref="A92:AS92"/>
    <mergeCell ref="A102:AS102"/>
    <mergeCell ref="A93:AS93"/>
    <mergeCell ref="A94:AS94"/>
    <mergeCell ref="A95:AS95"/>
    <mergeCell ref="A96:AS96"/>
    <mergeCell ref="A133:AS133"/>
    <mergeCell ref="A97:AS97"/>
    <mergeCell ref="A98:AS98"/>
    <mergeCell ref="A99:AS99"/>
    <mergeCell ref="A100:AS100"/>
    <mergeCell ref="A86:AS86"/>
    <mergeCell ref="A87:AS87"/>
    <mergeCell ref="A88:AS88"/>
    <mergeCell ref="A89:AS89"/>
    <mergeCell ref="A140:B140"/>
    <mergeCell ref="A141:B141"/>
    <mergeCell ref="A142:B142"/>
    <mergeCell ref="A181:D181"/>
    <mergeCell ref="E181:X181"/>
    <mergeCell ref="X149:AC149"/>
    <mergeCell ref="AD149:AI149"/>
    <mergeCell ref="T149:W149"/>
    <mergeCell ref="A149:B149"/>
    <mergeCell ref="C149:S149"/>
    <mergeCell ref="A151:AS151"/>
    <mergeCell ref="Y181:AE181"/>
    <mergeCell ref="AF181:AL181"/>
    <mergeCell ref="AM181:AS181"/>
    <mergeCell ref="A165:AS165"/>
    <mergeCell ref="C152:AS152"/>
    <mergeCell ref="C153:AS153"/>
    <mergeCell ref="C154:AS154"/>
    <mergeCell ref="A160:AI160"/>
    <mergeCell ref="AM160:AS160"/>
    <mergeCell ref="A162:AS162"/>
    <mergeCell ref="A161:AS161"/>
    <mergeCell ref="A159:AL159"/>
    <mergeCell ref="AM159:AS159"/>
    <mergeCell ref="E182:X182"/>
    <mergeCell ref="Y182:AE182"/>
    <mergeCell ref="AF182:AL182"/>
    <mergeCell ref="AM182:AS182"/>
    <mergeCell ref="A187:D187"/>
    <mergeCell ref="E187:X187"/>
    <mergeCell ref="Y187:AE187"/>
    <mergeCell ref="AF187:AL187"/>
    <mergeCell ref="AM187:AS187"/>
    <mergeCell ref="A186:D186"/>
    <mergeCell ref="E186:X186"/>
    <mergeCell ref="Y186:AE186"/>
    <mergeCell ref="AF186:AL186"/>
    <mergeCell ref="AM186:AS186"/>
    <mergeCell ref="A200:AS200"/>
    <mergeCell ref="A208:AS208"/>
    <mergeCell ref="A211:AS211"/>
    <mergeCell ref="Y224:AH224"/>
    <mergeCell ref="A224:D224"/>
    <mergeCell ref="E224:X224"/>
    <mergeCell ref="A216:AS216"/>
    <mergeCell ref="A217:AS217"/>
    <mergeCell ref="A218:AS218"/>
    <mergeCell ref="A219:AS219"/>
    <mergeCell ref="A221:AS221"/>
    <mergeCell ref="A220:AS220"/>
    <mergeCell ref="Y222:AH222"/>
    <mergeCell ref="AI222:AS222"/>
    <mergeCell ref="Y223:AH223"/>
    <mergeCell ref="AI223:AS223"/>
    <mergeCell ref="Y229:AH229"/>
    <mergeCell ref="Y230:AH230"/>
    <mergeCell ref="AI229:AS229"/>
    <mergeCell ref="AI230:AS230"/>
    <mergeCell ref="Y228:AH228"/>
    <mergeCell ref="A225:D225"/>
    <mergeCell ref="E225:X225"/>
    <mergeCell ref="AI225:AS225"/>
    <mergeCell ref="AI224:AS224"/>
    <mergeCell ref="A241:AS241"/>
    <mergeCell ref="A244:AS244"/>
    <mergeCell ref="A248:AS248"/>
    <mergeCell ref="A249:AT249"/>
    <mergeCell ref="AD251:AH251"/>
    <mergeCell ref="R251:W251"/>
    <mergeCell ref="A259:D259"/>
    <mergeCell ref="E258:Q258"/>
    <mergeCell ref="E259:Q259"/>
    <mergeCell ref="R258:W258"/>
    <mergeCell ref="A254:D254"/>
    <mergeCell ref="E254:Q254"/>
    <mergeCell ref="A253:D253"/>
    <mergeCell ref="E253:Q253"/>
    <mergeCell ref="R259:W259"/>
    <mergeCell ref="X258:AC258"/>
    <mergeCell ref="X259:AC259"/>
    <mergeCell ref="AD258:AH258"/>
    <mergeCell ref="AD259:AH259"/>
    <mergeCell ref="X256:AC256"/>
    <mergeCell ref="X257:AC257"/>
    <mergeCell ref="AD253:AH253"/>
    <mergeCell ref="AD254:AH254"/>
    <mergeCell ref="AD255:AH255"/>
    <mergeCell ref="A264:AS264"/>
    <mergeCell ref="AO251:AS251"/>
    <mergeCell ref="AO252:AS252"/>
    <mergeCell ref="AO253:AS253"/>
    <mergeCell ref="AO254:AS254"/>
    <mergeCell ref="AO255:AS255"/>
    <mergeCell ref="AO256:AS256"/>
    <mergeCell ref="AO257:AS257"/>
    <mergeCell ref="AO260:AS260"/>
    <mergeCell ref="AI251:AN251"/>
    <mergeCell ref="AI252:AN252"/>
    <mergeCell ref="AI253:AN253"/>
    <mergeCell ref="AI254:AN254"/>
    <mergeCell ref="AI255:AN255"/>
    <mergeCell ref="AI256:AN256"/>
    <mergeCell ref="AI257:AN257"/>
    <mergeCell ref="A262:AS262"/>
    <mergeCell ref="A263:AS263"/>
    <mergeCell ref="AI258:AN258"/>
    <mergeCell ref="AI259:AN259"/>
    <mergeCell ref="AO258:AS258"/>
    <mergeCell ref="AO259:AS259"/>
    <mergeCell ref="E252:Q252"/>
    <mergeCell ref="A251:D251"/>
    <mergeCell ref="A260:D260"/>
    <mergeCell ref="E260:X260"/>
    <mergeCell ref="A257:D257"/>
    <mergeCell ref="AI260:AN260"/>
    <mergeCell ref="A255:D255"/>
    <mergeCell ref="E257:Q257"/>
    <mergeCell ref="A256:D256"/>
    <mergeCell ref="A252:D252"/>
    <mergeCell ref="X251:AC251"/>
    <mergeCell ref="R252:W252"/>
    <mergeCell ref="X252:AC252"/>
    <mergeCell ref="AD252:AH252"/>
    <mergeCell ref="AD256:AH256"/>
    <mergeCell ref="AD257:AH257"/>
    <mergeCell ref="E255:Q255"/>
    <mergeCell ref="E256:Q256"/>
    <mergeCell ref="R253:W253"/>
    <mergeCell ref="R254:W254"/>
    <mergeCell ref="R255:W255"/>
    <mergeCell ref="R256:W256"/>
    <mergeCell ref="A258:D258"/>
    <mergeCell ref="E251:Q251"/>
    <mergeCell ref="R257:W257"/>
    <mergeCell ref="X253:AC253"/>
    <mergeCell ref="A143:B143"/>
    <mergeCell ref="A144:B144"/>
    <mergeCell ref="A145:B145"/>
    <mergeCell ref="A146:B146"/>
    <mergeCell ref="Y226:AH226"/>
    <mergeCell ref="Y227:AH227"/>
    <mergeCell ref="A233:AS233"/>
    <mergeCell ref="A231:D231"/>
    <mergeCell ref="E231:X231"/>
    <mergeCell ref="Y231:AH231"/>
    <mergeCell ref="AI231:AS231"/>
    <mergeCell ref="A228:D228"/>
    <mergeCell ref="E228:X228"/>
    <mergeCell ref="AI228:AS228"/>
    <mergeCell ref="A227:D227"/>
    <mergeCell ref="E227:X227"/>
    <mergeCell ref="AI227:AS227"/>
    <mergeCell ref="A226:D226"/>
    <mergeCell ref="E226:X226"/>
    <mergeCell ref="AI226:AS226"/>
    <mergeCell ref="A229:D229"/>
    <mergeCell ref="A230:D230"/>
    <mergeCell ref="E229:X229"/>
    <mergeCell ref="E230:X230"/>
    <mergeCell ref="C140:S140"/>
    <mergeCell ref="C141:S141"/>
    <mergeCell ref="C142:S142"/>
    <mergeCell ref="C143:S143"/>
    <mergeCell ref="C144:S144"/>
    <mergeCell ref="C145:S145"/>
    <mergeCell ref="C146:S146"/>
    <mergeCell ref="AD140:AI140"/>
    <mergeCell ref="AD141:AI141"/>
    <mergeCell ref="AD142:AI142"/>
    <mergeCell ref="AD143:AI143"/>
    <mergeCell ref="AD144:AI144"/>
    <mergeCell ref="AD145:AI145"/>
    <mergeCell ref="AD146:AI146"/>
    <mergeCell ref="X139:AI139"/>
    <mergeCell ref="T140:W140"/>
    <mergeCell ref="T141:W141"/>
    <mergeCell ref="T142:W142"/>
    <mergeCell ref="T143:W143"/>
    <mergeCell ref="T144:W144"/>
    <mergeCell ref="T145:W145"/>
    <mergeCell ref="T146:W146"/>
    <mergeCell ref="X140:AC140"/>
    <mergeCell ref="X141:AC141"/>
    <mergeCell ref="X142:AC142"/>
    <mergeCell ref="X143:AC143"/>
    <mergeCell ref="X144:AC144"/>
    <mergeCell ref="X145:AC145"/>
    <mergeCell ref="X146:AC146"/>
    <mergeCell ref="AJ139:AS139"/>
    <mergeCell ref="AJ140:AN140"/>
    <mergeCell ref="AJ141:AN141"/>
    <mergeCell ref="AJ142:AN142"/>
    <mergeCell ref="AJ143:AN143"/>
    <mergeCell ref="AJ144:AN144"/>
    <mergeCell ref="AJ145:AN145"/>
    <mergeCell ref="AJ146:AN146"/>
    <mergeCell ref="AJ149:AN149"/>
    <mergeCell ref="AO140:AS140"/>
    <mergeCell ref="AO141:AS141"/>
    <mergeCell ref="AO142:AS142"/>
    <mergeCell ref="AO143:AS143"/>
    <mergeCell ref="AO144:AS144"/>
    <mergeCell ref="AO145:AS145"/>
    <mergeCell ref="AO146:AS146"/>
    <mergeCell ref="AO149:AS149"/>
    <mergeCell ref="AJ147:AN147"/>
    <mergeCell ref="AJ148:AN148"/>
    <mergeCell ref="AO147:AS147"/>
    <mergeCell ref="AO148:AS148"/>
  </mergeCells>
  <conditionalFormatting sqref="A161:AS161">
    <cfRule type="expression" dxfId="0" priority="4">
      <formula>$AW$20="без НДС"</formula>
    </cfRule>
  </conditionalFormatting>
  <dataValidations disablePrompts="1" count="1">
    <dataValidation type="list" allowBlank="1" showInputMessage="1" showErrorMessage="1" sqref="AW20">
      <formula1>INDIRECT("НДС")</formula1>
    </dataValidation>
  </dataValidations>
  <pageMargins left="0.70866141732283472" right="0.39370078740157483" top="0.39370078740157483" bottom="0.39370078740157483" header="0.19685039370078741" footer="0.19685039370078741"/>
  <pageSetup paperSize="9" scale="92" orientation="portrait" r:id="rId1"/>
  <rowBreaks count="7" manualBreakCount="7">
    <brk id="34" max="44" man="1"/>
    <brk id="59" max="44" man="1"/>
    <brk id="83" max="44" man="1"/>
    <brk id="126" max="44" man="1"/>
    <brk id="170" max="44" man="1"/>
    <brk id="207" max="44" man="1"/>
    <brk id="240" max="44" man="1"/>
  </rowBreaks>
</worksheet>
</file>

<file path=xl/worksheets/sheet7.xml><?xml version="1.0" encoding="utf-8"?>
<worksheet xmlns="http://schemas.openxmlformats.org/spreadsheetml/2006/main" xmlns:r="http://schemas.openxmlformats.org/officeDocument/2006/relationships">
  <sheetPr codeName="Лист8"/>
  <dimension ref="A1:BF37"/>
  <sheetViews>
    <sheetView workbookViewId="0">
      <selection activeCell="F17" sqref="F17:AK17"/>
    </sheetView>
  </sheetViews>
  <sheetFormatPr defaultColWidth="2.28515625" defaultRowHeight="15"/>
  <cols>
    <col min="1" max="1" width="1.28515625" style="113" customWidth="1"/>
    <col min="2" max="4" width="2.28515625" style="113"/>
    <col min="5" max="5" width="4.7109375" style="113" customWidth="1"/>
    <col min="6" max="37" width="2.28515625" style="113"/>
    <col min="38" max="38" width="5.7109375" style="113" customWidth="1"/>
    <col min="50" max="50" width="19.7109375" customWidth="1"/>
    <col min="51" max="51" width="11.7109375" customWidth="1"/>
  </cols>
  <sheetData>
    <row r="1" spans="1:58" ht="11.25" customHeight="1">
      <c r="A1" s="112"/>
      <c r="B1" s="673" t="s">
        <v>169</v>
      </c>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row>
    <row r="2" spans="1:58" ht="11.25" customHeight="1">
      <c r="B2" s="673"/>
      <c r="C2" s="673"/>
      <c r="D2" s="673"/>
      <c r="E2" s="673"/>
      <c r="F2" s="673"/>
      <c r="G2" s="673"/>
      <c r="H2" s="673"/>
      <c r="I2" s="673"/>
      <c r="J2" s="673"/>
      <c r="K2" s="673"/>
      <c r="L2" s="673"/>
      <c r="M2" s="673"/>
      <c r="N2" s="673"/>
      <c r="O2" s="673"/>
      <c r="P2" s="673"/>
      <c r="Q2" s="673"/>
      <c r="R2" s="673"/>
      <c r="S2" s="673"/>
      <c r="T2" s="673"/>
      <c r="U2" s="673"/>
      <c r="V2" s="673"/>
      <c r="W2" s="673"/>
      <c r="X2" s="673"/>
      <c r="Y2" s="673"/>
      <c r="Z2" s="673"/>
      <c r="AA2" s="673"/>
      <c r="AB2" s="673"/>
      <c r="AC2" s="673"/>
      <c r="AD2" s="673"/>
      <c r="AE2" s="673"/>
      <c r="AF2" s="673"/>
      <c r="AG2" s="673"/>
      <c r="AH2" s="673"/>
      <c r="AI2" s="673"/>
      <c r="AJ2" s="673"/>
      <c r="AK2" s="673"/>
      <c r="AX2" t="s">
        <v>222</v>
      </c>
      <c r="AY2" s="133">
        <v>660</v>
      </c>
    </row>
    <row r="3" spans="1:58" ht="11.25" customHeight="1">
      <c r="A3" s="112">
        <f>AH26</f>
        <v>9400</v>
      </c>
      <c r="B3" s="673"/>
      <c r="C3" s="673"/>
      <c r="D3" s="673"/>
      <c r="E3" s="673"/>
      <c r="F3" s="673"/>
      <c r="G3" s="673"/>
      <c r="H3" s="673"/>
      <c r="I3" s="673"/>
      <c r="J3" s="673"/>
      <c r="K3" s="673"/>
      <c r="L3" s="673"/>
      <c r="M3" s="673"/>
      <c r="N3" s="673"/>
      <c r="O3" s="673"/>
      <c r="P3" s="673"/>
      <c r="Q3" s="673"/>
      <c r="R3" s="673"/>
      <c r="S3" s="673"/>
      <c r="T3" s="673"/>
      <c r="U3" s="673"/>
      <c r="V3" s="673"/>
      <c r="W3" s="673"/>
      <c r="X3" s="673"/>
      <c r="Y3" s="673"/>
      <c r="Z3" s="673"/>
      <c r="AA3" s="673"/>
      <c r="AB3" s="673"/>
      <c r="AC3" s="673"/>
      <c r="AD3" s="673"/>
      <c r="AE3" s="673"/>
      <c r="AF3" s="673"/>
      <c r="AG3" s="673"/>
      <c r="AH3" s="673"/>
      <c r="AI3" s="673"/>
      <c r="AJ3" s="673"/>
      <c r="AK3" s="673"/>
      <c r="AX3" t="s">
        <v>223</v>
      </c>
      <c r="AY3" s="133">
        <v>4</v>
      </c>
    </row>
    <row r="4" spans="1:58" ht="11.25" customHeight="1" thickBot="1">
      <c r="A4" s="114"/>
    </row>
    <row r="5" spans="1:58" ht="11.25" customHeight="1">
      <c r="B5" s="674" t="str">
        <f>'Договор аренды лесов Юр'!BX11</f>
        <v>УРАЛЬСКИЙ БАНК ПАО СБЕРБАНК</v>
      </c>
      <c r="C5" s="675"/>
      <c r="D5" s="675"/>
      <c r="E5" s="675"/>
      <c r="F5" s="675"/>
      <c r="G5" s="675"/>
      <c r="H5" s="675"/>
      <c r="I5" s="675"/>
      <c r="J5" s="675"/>
      <c r="K5" s="675"/>
      <c r="L5" s="675"/>
      <c r="M5" s="675"/>
      <c r="N5" s="675"/>
      <c r="O5" s="675"/>
      <c r="P5" s="675"/>
      <c r="Q5" s="675"/>
      <c r="R5" s="675"/>
      <c r="S5" s="675"/>
      <c r="T5" s="678" t="s">
        <v>170</v>
      </c>
      <c r="U5" s="678"/>
      <c r="V5" s="678"/>
      <c r="W5" s="678"/>
      <c r="X5" s="679" t="str">
        <f>'Договор аренды лесов Юр'!BX13</f>
        <v>046577674</v>
      </c>
      <c r="Y5" s="679"/>
      <c r="Z5" s="679"/>
      <c r="AA5" s="679"/>
      <c r="AB5" s="679"/>
      <c r="AC5" s="679"/>
      <c r="AD5" s="679"/>
      <c r="AE5" s="679"/>
      <c r="AF5" s="679"/>
      <c r="AG5" s="679"/>
      <c r="AH5" s="679"/>
      <c r="AI5" s="679"/>
      <c r="AJ5" s="679"/>
      <c r="AK5" s="680"/>
      <c r="AL5" s="12"/>
      <c r="AX5" s="2" t="s">
        <v>318</v>
      </c>
      <c r="AY5">
        <f ca="1">DAY(TODAY())</f>
        <v>30</v>
      </c>
    </row>
    <row r="6" spans="1:58" ht="11.25" customHeight="1">
      <c r="B6" s="676"/>
      <c r="C6" s="677"/>
      <c r="D6" s="677"/>
      <c r="E6" s="677"/>
      <c r="F6" s="677"/>
      <c r="G6" s="677"/>
      <c r="H6" s="677"/>
      <c r="I6" s="677"/>
      <c r="J6" s="677"/>
      <c r="K6" s="677"/>
      <c r="L6" s="677"/>
      <c r="M6" s="677"/>
      <c r="N6" s="677"/>
      <c r="O6" s="677"/>
      <c r="P6" s="677"/>
      <c r="Q6" s="677"/>
      <c r="R6" s="677"/>
      <c r="S6" s="677"/>
      <c r="T6" s="681" t="s">
        <v>171</v>
      </c>
      <c r="U6" s="681"/>
      <c r="V6" s="681"/>
      <c r="W6" s="681"/>
      <c r="X6" s="682" t="str">
        <f>'Договор аренды лесов Юр'!BX12</f>
        <v>30101810500000000674</v>
      </c>
      <c r="Y6" s="682"/>
      <c r="Z6" s="682"/>
      <c r="AA6" s="682"/>
      <c r="AB6" s="682"/>
      <c r="AC6" s="682"/>
      <c r="AD6" s="682"/>
      <c r="AE6" s="682"/>
      <c r="AF6" s="682"/>
      <c r="AG6" s="682"/>
      <c r="AH6" s="682"/>
      <c r="AI6" s="682"/>
      <c r="AJ6" s="682"/>
      <c r="AK6" s="683"/>
      <c r="AL6" s="115"/>
      <c r="AX6" s="2" t="s">
        <v>319</v>
      </c>
      <c r="AY6" s="2" t="str">
        <f ca="1">IF(BF10=1,"января",IF(BF10=2,"февраля",IF(BF10=3,"марта",IF(BF10=4,"апреля",IF(BF10=5,"мая",IF(BF10=6,"июня",IF(BF10=7,"июля",IF(BF10=8,"августа",IF(BF10=9,"сентября",IF(BF10=10,"октября",IF(BF10=11,"ноября",IF(BF10=12,"декабря"))))))))))))</f>
        <v>марта</v>
      </c>
    </row>
    <row r="7" spans="1:58" ht="11.25" customHeight="1">
      <c r="B7" s="684" t="s">
        <v>172</v>
      </c>
      <c r="C7" s="685"/>
      <c r="D7" s="685"/>
      <c r="E7" s="685"/>
      <c r="F7" s="685"/>
      <c r="G7" s="685"/>
      <c r="H7" s="685"/>
      <c r="I7" s="685"/>
      <c r="J7" s="685"/>
      <c r="K7" s="685"/>
      <c r="L7" s="685"/>
      <c r="M7" s="685"/>
      <c r="N7" s="685"/>
      <c r="O7" s="685"/>
      <c r="P7" s="685"/>
      <c r="Q7" s="685"/>
      <c r="R7" s="685"/>
      <c r="S7" s="685"/>
      <c r="T7" s="681"/>
      <c r="U7" s="681"/>
      <c r="V7" s="681"/>
      <c r="W7" s="681"/>
      <c r="X7" s="682"/>
      <c r="Y7" s="682"/>
      <c r="Z7" s="682"/>
      <c r="AA7" s="682"/>
      <c r="AB7" s="682"/>
      <c r="AC7" s="682"/>
      <c r="AD7" s="682"/>
      <c r="AE7" s="682"/>
      <c r="AF7" s="682"/>
      <c r="AG7" s="682"/>
      <c r="AH7" s="682"/>
      <c r="AI7" s="682"/>
      <c r="AJ7" s="682"/>
      <c r="AK7" s="683"/>
      <c r="AL7" s="116"/>
      <c r="AX7" s="2" t="s">
        <v>342</v>
      </c>
      <c r="AY7">
        <f ca="1">YEAR(TODAY())</f>
        <v>2023</v>
      </c>
    </row>
    <row r="8" spans="1:58" ht="11.25" customHeight="1">
      <c r="B8" s="686" t="s">
        <v>173</v>
      </c>
      <c r="C8" s="687"/>
      <c r="D8" s="688" t="str">
        <f>'Договор аренды лесов Юр'!BX5</f>
        <v>6670463929</v>
      </c>
      <c r="E8" s="688"/>
      <c r="F8" s="688"/>
      <c r="G8" s="688"/>
      <c r="H8" s="688"/>
      <c r="I8" s="688"/>
      <c r="J8" s="688"/>
      <c r="K8" s="687" t="s">
        <v>174</v>
      </c>
      <c r="L8" s="687"/>
      <c r="M8" s="688" t="str">
        <f>'Договор аренды лесов Юр'!BX6</f>
        <v>667001001</v>
      </c>
      <c r="N8" s="688"/>
      <c r="O8" s="688"/>
      <c r="P8" s="688"/>
      <c r="Q8" s="688"/>
      <c r="R8" s="688"/>
      <c r="S8" s="688"/>
      <c r="T8" s="681" t="s">
        <v>171</v>
      </c>
      <c r="U8" s="681"/>
      <c r="V8" s="681"/>
      <c r="W8" s="681"/>
      <c r="X8" s="664" t="str">
        <f>'Договор аренды лесов Юр'!BX10</f>
        <v>40702810816540041503</v>
      </c>
      <c r="Y8" s="665"/>
      <c r="Z8" s="665"/>
      <c r="AA8" s="665"/>
      <c r="AB8" s="665"/>
      <c r="AC8" s="665"/>
      <c r="AD8" s="665"/>
      <c r="AE8" s="665"/>
      <c r="AF8" s="665"/>
      <c r="AG8" s="665"/>
      <c r="AH8" s="665"/>
      <c r="AI8" s="665"/>
      <c r="AJ8" s="665"/>
      <c r="AK8" s="665"/>
      <c r="AL8" s="117"/>
    </row>
    <row r="9" spans="1:58" ht="11.25" customHeight="1">
      <c r="B9" s="670" t="s">
        <v>175</v>
      </c>
      <c r="C9" s="664"/>
      <c r="D9" s="664"/>
      <c r="E9" s="664"/>
      <c r="F9" s="664"/>
      <c r="G9" s="664"/>
      <c r="H9" s="664"/>
      <c r="I9" s="664"/>
      <c r="J9" s="664"/>
      <c r="K9" s="664"/>
      <c r="L9" s="664"/>
      <c r="M9" s="664"/>
      <c r="N9" s="664"/>
      <c r="O9" s="664"/>
      <c r="P9" s="664"/>
      <c r="Q9" s="664"/>
      <c r="R9" s="664"/>
      <c r="S9" s="664"/>
      <c r="T9" s="681"/>
      <c r="U9" s="681"/>
      <c r="V9" s="681"/>
      <c r="W9" s="681"/>
      <c r="X9" s="666"/>
      <c r="Y9" s="667"/>
      <c r="Z9" s="667"/>
      <c r="AA9" s="667"/>
      <c r="AB9" s="667"/>
      <c r="AC9" s="667"/>
      <c r="AD9" s="667"/>
      <c r="AE9" s="667"/>
      <c r="AF9" s="667"/>
      <c r="AG9" s="667"/>
      <c r="AH9" s="667"/>
      <c r="AI9" s="667"/>
      <c r="AJ9" s="667"/>
      <c r="AK9" s="667"/>
      <c r="AL9" s="115"/>
    </row>
    <row r="10" spans="1:58" ht="11.25" customHeight="1">
      <c r="B10" s="670"/>
      <c r="C10" s="664"/>
      <c r="D10" s="664"/>
      <c r="E10" s="664"/>
      <c r="F10" s="664"/>
      <c r="G10" s="664"/>
      <c r="H10" s="664"/>
      <c r="I10" s="664"/>
      <c r="J10" s="664"/>
      <c r="K10" s="664"/>
      <c r="L10" s="664"/>
      <c r="M10" s="664"/>
      <c r="N10" s="664"/>
      <c r="O10" s="664"/>
      <c r="P10" s="664"/>
      <c r="Q10" s="664"/>
      <c r="R10" s="664"/>
      <c r="S10" s="664"/>
      <c r="T10" s="681"/>
      <c r="U10" s="681"/>
      <c r="V10" s="681"/>
      <c r="W10" s="681"/>
      <c r="X10" s="666"/>
      <c r="Y10" s="667"/>
      <c r="Z10" s="667"/>
      <c r="AA10" s="667"/>
      <c r="AB10" s="667"/>
      <c r="AC10" s="667"/>
      <c r="AD10" s="667"/>
      <c r="AE10" s="667"/>
      <c r="AF10" s="667"/>
      <c r="AG10" s="667"/>
      <c r="AH10" s="667"/>
      <c r="AI10" s="667"/>
      <c r="AJ10" s="667"/>
      <c r="AK10" s="667"/>
      <c r="AL10" s="115"/>
      <c r="BF10">
        <f ca="1">MONTH(TODAY())</f>
        <v>3</v>
      </c>
    </row>
    <row r="11" spans="1:58" ht="11.25" customHeight="1" thickBot="1">
      <c r="B11" s="671" t="s">
        <v>176</v>
      </c>
      <c r="C11" s="672"/>
      <c r="D11" s="672"/>
      <c r="E11" s="672"/>
      <c r="F11" s="672"/>
      <c r="G11" s="672"/>
      <c r="H11" s="672"/>
      <c r="I11" s="672"/>
      <c r="J11" s="672"/>
      <c r="K11" s="672"/>
      <c r="L11" s="672"/>
      <c r="M11" s="672"/>
      <c r="N11" s="672"/>
      <c r="O11" s="672"/>
      <c r="P11" s="672"/>
      <c r="Q11" s="672"/>
      <c r="R11" s="672"/>
      <c r="S11" s="672"/>
      <c r="T11" s="689"/>
      <c r="U11" s="689"/>
      <c r="V11" s="689"/>
      <c r="W11" s="689"/>
      <c r="X11" s="668"/>
      <c r="Y11" s="669"/>
      <c r="Z11" s="669"/>
      <c r="AA11" s="669"/>
      <c r="AB11" s="669"/>
      <c r="AC11" s="669"/>
      <c r="AD11" s="669"/>
      <c r="AE11" s="669"/>
      <c r="AF11" s="669"/>
      <c r="AG11" s="669"/>
      <c r="AH11" s="669"/>
      <c r="AI11" s="669"/>
      <c r="AJ11" s="669"/>
      <c r="AK11" s="669"/>
      <c r="AL11" s="118"/>
    </row>
    <row r="12" spans="1:58" ht="11.25" customHeight="1"/>
    <row r="13" spans="1:58" ht="11.25" customHeight="1">
      <c r="B13" s="656" t="str">
        <f ca="1">CONCATENATE("Счет на оплату № ",AY2," от ",AY5," ",AY6," ",AY7,"г.")</f>
        <v>Счет на оплату № 660 от 30 марта 2023г.</v>
      </c>
      <c r="C13" s="656"/>
      <c r="D13" s="656"/>
      <c r="E13" s="656"/>
      <c r="F13" s="656"/>
      <c r="G13" s="656"/>
      <c r="H13" s="656"/>
      <c r="I13" s="656"/>
      <c r="J13" s="656"/>
      <c r="K13" s="656"/>
      <c r="L13" s="656"/>
      <c r="M13" s="656"/>
      <c r="N13" s="656"/>
      <c r="O13" s="656"/>
      <c r="P13" s="656"/>
      <c r="Q13" s="656"/>
      <c r="R13" s="656"/>
      <c r="S13" s="656"/>
      <c r="T13" s="656"/>
      <c r="U13" s="656"/>
      <c r="V13" s="656"/>
      <c r="W13" s="656"/>
      <c r="X13" s="656"/>
      <c r="Y13" s="656"/>
      <c r="Z13" s="656"/>
      <c r="AA13" s="656"/>
      <c r="AB13" s="656"/>
      <c r="AC13" s="656"/>
      <c r="AD13" s="656"/>
      <c r="AE13" s="656"/>
      <c r="AF13" s="656"/>
      <c r="AG13" s="656"/>
      <c r="AH13" s="656"/>
      <c r="AI13" s="656"/>
      <c r="AJ13" s="656"/>
      <c r="AK13" s="656"/>
    </row>
    <row r="14" spans="1:58" ht="12" customHeight="1">
      <c r="B14" s="656"/>
      <c r="C14" s="656"/>
      <c r="D14" s="656"/>
      <c r="E14" s="656"/>
      <c r="F14" s="656"/>
      <c r="G14" s="656"/>
      <c r="H14" s="656"/>
      <c r="I14" s="656"/>
      <c r="J14" s="656"/>
      <c r="K14" s="656"/>
      <c r="L14" s="656"/>
      <c r="M14" s="656"/>
      <c r="N14" s="656"/>
      <c r="O14" s="656"/>
      <c r="P14" s="656"/>
      <c r="Q14" s="656"/>
      <c r="R14" s="656"/>
      <c r="S14" s="656"/>
      <c r="T14" s="656"/>
      <c r="U14" s="656"/>
      <c r="V14" s="656"/>
      <c r="W14" s="656"/>
      <c r="X14" s="656"/>
      <c r="Y14" s="656"/>
      <c r="Z14" s="656"/>
      <c r="AA14" s="656"/>
      <c r="AB14" s="656"/>
      <c r="AC14" s="656"/>
      <c r="AD14" s="656"/>
      <c r="AE14" s="656"/>
      <c r="AF14" s="656"/>
      <c r="AG14" s="656"/>
      <c r="AH14" s="656"/>
      <c r="AI14" s="656"/>
      <c r="AJ14" s="656"/>
      <c r="AK14" s="656"/>
    </row>
    <row r="15" spans="1:58" ht="2.25" customHeight="1" thickBot="1">
      <c r="B15" s="657"/>
      <c r="C15" s="657"/>
      <c r="D15" s="657"/>
      <c r="E15" s="657"/>
      <c r="F15" s="657"/>
      <c r="G15" s="657"/>
      <c r="H15" s="657"/>
      <c r="I15" s="657"/>
      <c r="J15" s="657"/>
      <c r="K15" s="657"/>
      <c r="L15" s="657"/>
      <c r="M15" s="657"/>
      <c r="N15" s="657"/>
      <c r="O15" s="657"/>
      <c r="P15" s="657"/>
      <c r="Q15" s="657"/>
      <c r="R15" s="657"/>
      <c r="S15" s="657"/>
      <c r="T15" s="657"/>
      <c r="U15" s="657"/>
      <c r="V15" s="657"/>
      <c r="W15" s="657"/>
      <c r="X15" s="657"/>
      <c r="Y15" s="657"/>
      <c r="Z15" s="657"/>
      <c r="AA15" s="657"/>
      <c r="AB15" s="657"/>
      <c r="AC15" s="657"/>
      <c r="AD15" s="657"/>
      <c r="AE15" s="657"/>
      <c r="AF15" s="657"/>
      <c r="AG15" s="657"/>
      <c r="AH15" s="657"/>
      <c r="AI15" s="657"/>
      <c r="AJ15" s="657"/>
      <c r="AK15" s="657"/>
    </row>
    <row r="16" spans="1:58" ht="6" customHeight="1"/>
    <row r="17" spans="1:50" ht="28.5" customHeight="1">
      <c r="A17"/>
      <c r="B17" s="658" t="s">
        <v>177</v>
      </c>
      <c r="C17" s="658"/>
      <c r="D17" s="658"/>
      <c r="E17" s="658"/>
      <c r="F17" s="659" t="str">
        <f>CONCATENATE("ООО «УПСК», ИНН ",D8,", КПП ",M8,", ",реквизиты!G9," тел.8(343)2068882")</f>
        <v>ООО «УПСК», ИНН 6670463929, КПП 667001001, 620066, Свердловская область, г. Екатеринбург, ул. Вилонова, стр. 45Л, офис 506, тел.8(343)2068882</v>
      </c>
      <c r="G17" s="659"/>
      <c r="H17" s="659"/>
      <c r="I17" s="659"/>
      <c r="J17" s="659"/>
      <c r="K17" s="659"/>
      <c r="L17" s="659"/>
      <c r="M17" s="659"/>
      <c r="N17" s="659"/>
      <c r="O17" s="659"/>
      <c r="P17" s="659"/>
      <c r="Q17" s="659"/>
      <c r="R17" s="659"/>
      <c r="S17" s="659"/>
      <c r="T17" s="659"/>
      <c r="U17" s="659"/>
      <c r="V17" s="659"/>
      <c r="W17" s="659"/>
      <c r="X17" s="659"/>
      <c r="Y17" s="659"/>
      <c r="Z17" s="659"/>
      <c r="AA17" s="659"/>
      <c r="AB17" s="659"/>
      <c r="AC17" s="659"/>
      <c r="AD17" s="659"/>
      <c r="AE17" s="659"/>
      <c r="AF17" s="659"/>
      <c r="AG17" s="659"/>
      <c r="AH17" s="659"/>
      <c r="AI17" s="659"/>
      <c r="AJ17" s="659"/>
      <c r="AK17" s="659"/>
      <c r="AL17" s="119"/>
    </row>
    <row r="18" spans="1:50" s="113" customFormat="1" ht="3.75" customHeight="1">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row>
    <row r="19" spans="1:50" ht="31.5" customHeight="1">
      <c r="A19"/>
      <c r="B19" s="658" t="s">
        <v>178</v>
      </c>
      <c r="C19" s="658"/>
      <c r="D19" s="658"/>
      <c r="E19" s="658"/>
      <c r="F19" s="659" t="str">
        <f>CONCATENATE(ДляДоговора!B4,", ИНН ",ДляДоговора!B10,", КПП ",ДляДоговора!B11,", Адрес: ",ДляДоговора!B9)</f>
        <v>ООО "Эдвако-Инжиниринг", ИНН 6658401387, КПП 665801001, Адрес: 620014, РФ, г. Екатеринбург, ул. Московская, д.11 офис 903</v>
      </c>
      <c r="G19" s="659"/>
      <c r="H19" s="659"/>
      <c r="I19" s="659"/>
      <c r="J19" s="659"/>
      <c r="K19" s="659"/>
      <c r="L19" s="659"/>
      <c r="M19" s="659"/>
      <c r="N19" s="659"/>
      <c r="O19" s="659"/>
      <c r="P19" s="659"/>
      <c r="Q19" s="659"/>
      <c r="R19" s="659"/>
      <c r="S19" s="659"/>
      <c r="T19" s="659"/>
      <c r="U19" s="659"/>
      <c r="V19" s="659"/>
      <c r="W19" s="659"/>
      <c r="X19" s="659"/>
      <c r="Y19" s="659"/>
      <c r="Z19" s="659"/>
      <c r="AA19" s="659"/>
      <c r="AB19" s="659"/>
      <c r="AC19" s="659"/>
      <c r="AD19" s="659"/>
      <c r="AE19" s="659"/>
      <c r="AF19" s="659"/>
      <c r="AG19" s="659"/>
      <c r="AH19" s="659"/>
      <c r="AI19" s="659"/>
      <c r="AJ19" s="659"/>
      <c r="AK19" s="659"/>
      <c r="AL19" s="119"/>
    </row>
    <row r="20" spans="1:50" s="113" customFormat="1" ht="15.75" thickBot="1">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row>
    <row r="21" spans="1:50" ht="12" customHeight="1" thickBot="1">
      <c r="B21" s="660" t="s">
        <v>179</v>
      </c>
      <c r="C21" s="661"/>
      <c r="D21" s="662" t="s">
        <v>180</v>
      </c>
      <c r="E21" s="663"/>
      <c r="F21" s="663"/>
      <c r="G21" s="663"/>
      <c r="H21" s="663"/>
      <c r="I21" s="663"/>
      <c r="J21" s="663"/>
      <c r="K21" s="663"/>
      <c r="L21" s="663"/>
      <c r="M21" s="663"/>
      <c r="N21" s="663"/>
      <c r="O21" s="663"/>
      <c r="P21" s="663"/>
      <c r="Q21" s="663"/>
      <c r="R21" s="663"/>
      <c r="S21" s="663"/>
      <c r="T21" s="663"/>
      <c r="U21" s="660" t="s">
        <v>181</v>
      </c>
      <c r="V21" s="663"/>
      <c r="W21" s="663"/>
      <c r="X21" s="655"/>
      <c r="Y21" s="662" t="s">
        <v>182</v>
      </c>
      <c r="Z21" s="663"/>
      <c r="AA21" s="663"/>
      <c r="AB21" s="660" t="s">
        <v>183</v>
      </c>
      <c r="AC21" s="663"/>
      <c r="AD21" s="663"/>
      <c r="AE21" s="663"/>
      <c r="AF21" s="663"/>
      <c r="AG21" s="655"/>
      <c r="AH21" s="654" t="s">
        <v>184</v>
      </c>
      <c r="AI21" s="655"/>
      <c r="AJ21" s="655"/>
      <c r="AK21" s="655"/>
      <c r="AL21" s="655"/>
    </row>
    <row r="22" spans="1:50" ht="12.75" customHeight="1">
      <c r="A22"/>
      <c r="B22" s="626">
        <v>1</v>
      </c>
      <c r="C22" s="627"/>
      <c r="D22" s="628" t="str">
        <f ca="1">CONCATENATE("Оплата по договору № ",ДляДоговора!B2," от ",ДляДоговора!B3)</f>
        <v>Оплата по договору № 30/03-А(23) от 30 марта 2023г.</v>
      </c>
      <c r="E22" s="629"/>
      <c r="F22" s="629"/>
      <c r="G22" s="629"/>
      <c r="H22" s="629"/>
      <c r="I22" s="629"/>
      <c r="J22" s="629"/>
      <c r="K22" s="629"/>
      <c r="L22" s="629"/>
      <c r="M22" s="629"/>
      <c r="N22" s="629"/>
      <c r="O22" s="629"/>
      <c r="P22" s="629"/>
      <c r="Q22" s="629"/>
      <c r="R22" s="629"/>
      <c r="S22" s="629"/>
      <c r="T22" s="630"/>
      <c r="U22" s="631">
        <f>'Расчет лесов'!C4</f>
        <v>30</v>
      </c>
      <c r="V22" s="632"/>
      <c r="W22" s="632"/>
      <c r="X22" s="633"/>
      <c r="Y22" s="634" t="s">
        <v>185</v>
      </c>
      <c r="Z22" s="635"/>
      <c r="AA22" s="636"/>
      <c r="AB22" s="637">
        <f>'Расчет лесов'!C3</f>
        <v>210</v>
      </c>
      <c r="AC22" s="638"/>
      <c r="AD22" s="638"/>
      <c r="AE22" s="638"/>
      <c r="AF22" s="638"/>
      <c r="AG22" s="639"/>
      <c r="AH22" s="640">
        <f>U22*AB22</f>
        <v>6300</v>
      </c>
      <c r="AI22" s="641"/>
      <c r="AJ22" s="641"/>
      <c r="AK22" s="641"/>
      <c r="AL22" s="642"/>
    </row>
    <row r="23" spans="1:50" ht="12.75" customHeight="1">
      <c r="A23"/>
      <c r="B23" s="643">
        <v>2</v>
      </c>
      <c r="C23" s="644"/>
      <c r="D23" s="645" t="s">
        <v>186</v>
      </c>
      <c r="E23" s="646"/>
      <c r="F23" s="646"/>
      <c r="G23" s="646"/>
      <c r="H23" s="646"/>
      <c r="I23" s="646"/>
      <c r="J23" s="646"/>
      <c r="K23" s="646"/>
      <c r="L23" s="646"/>
      <c r="M23" s="646"/>
      <c r="N23" s="646"/>
      <c r="O23" s="646"/>
      <c r="P23" s="646"/>
      <c r="Q23" s="646"/>
      <c r="R23" s="646"/>
      <c r="S23" s="646"/>
      <c r="T23" s="647"/>
      <c r="U23" s="614">
        <f>IF(AY3=1,0,1)</f>
        <v>1</v>
      </c>
      <c r="V23" s="615"/>
      <c r="W23" s="615"/>
      <c r="X23" s="616"/>
      <c r="Y23" s="648" t="s">
        <v>187</v>
      </c>
      <c r="Z23" s="649"/>
      <c r="AA23" s="650"/>
      <c r="AB23" s="651">
        <f>'Расчет лесов'!D17</f>
        <v>3100</v>
      </c>
      <c r="AC23" s="652"/>
      <c r="AD23" s="652"/>
      <c r="AE23" s="652"/>
      <c r="AF23" s="652"/>
      <c r="AG23" s="653"/>
      <c r="AH23" s="623">
        <f>U23*AB23</f>
        <v>3100</v>
      </c>
      <c r="AI23" s="624"/>
      <c r="AJ23" s="624"/>
      <c r="AK23" s="624"/>
      <c r="AL23" s="625"/>
    </row>
    <row r="24" spans="1:50" ht="12.75" customHeight="1">
      <c r="A24"/>
      <c r="B24" s="592">
        <v>3</v>
      </c>
      <c r="C24" s="593"/>
      <c r="D24" s="594" t="s">
        <v>87</v>
      </c>
      <c r="E24" s="595"/>
      <c r="F24" s="595"/>
      <c r="G24" s="595"/>
      <c r="H24" s="595"/>
      <c r="I24" s="595"/>
      <c r="J24" s="595"/>
      <c r="K24" s="595"/>
      <c r="L24" s="595"/>
      <c r="M24" s="595"/>
      <c r="N24" s="595"/>
      <c r="O24" s="595"/>
      <c r="P24" s="595"/>
      <c r="Q24" s="595"/>
      <c r="R24" s="595"/>
      <c r="S24" s="595"/>
      <c r="T24" s="596"/>
      <c r="U24" s="597">
        <f>IF(AY3=1,0,IF(AY3=2,0,1))</f>
        <v>1</v>
      </c>
      <c r="V24" s="598"/>
      <c r="W24" s="598"/>
      <c r="X24" s="599"/>
      <c r="Y24" s="600" t="s">
        <v>187</v>
      </c>
      <c r="Z24" s="601"/>
      <c r="AA24" s="602"/>
      <c r="AB24" s="603">
        <f>'Расчет лесов'!D18</f>
        <v>0</v>
      </c>
      <c r="AC24" s="604"/>
      <c r="AD24" s="604"/>
      <c r="AE24" s="604"/>
      <c r="AF24" s="604"/>
      <c r="AG24" s="605"/>
      <c r="AH24" s="606">
        <f>U24*AB24</f>
        <v>0</v>
      </c>
      <c r="AI24" s="607"/>
      <c r="AJ24" s="607"/>
      <c r="AK24" s="607"/>
      <c r="AL24" s="608"/>
      <c r="AX24" s="165"/>
    </row>
    <row r="25" spans="1:50" ht="13.5" customHeight="1" thickBot="1">
      <c r="A25"/>
      <c r="B25" s="609">
        <v>4</v>
      </c>
      <c r="C25" s="610"/>
      <c r="D25" s="611" t="s">
        <v>87</v>
      </c>
      <c r="E25" s="612"/>
      <c r="F25" s="612"/>
      <c r="G25" s="612"/>
      <c r="H25" s="612"/>
      <c r="I25" s="612"/>
      <c r="J25" s="612"/>
      <c r="K25" s="612"/>
      <c r="L25" s="612"/>
      <c r="M25" s="612"/>
      <c r="N25" s="612"/>
      <c r="O25" s="612"/>
      <c r="P25" s="612"/>
      <c r="Q25" s="612"/>
      <c r="R25" s="612"/>
      <c r="S25" s="612"/>
      <c r="T25" s="613"/>
      <c r="U25" s="614">
        <f>IF(AY3=1,0,IF(AY3=2,0,IF(AY3=3,0,1)))</f>
        <v>1</v>
      </c>
      <c r="V25" s="615"/>
      <c r="W25" s="615"/>
      <c r="X25" s="616"/>
      <c r="Y25" s="617" t="s">
        <v>187</v>
      </c>
      <c r="Z25" s="618"/>
      <c r="AA25" s="619"/>
      <c r="AB25" s="620">
        <f>'Расчет лесов'!D19</f>
        <v>0</v>
      </c>
      <c r="AC25" s="621"/>
      <c r="AD25" s="621"/>
      <c r="AE25" s="621"/>
      <c r="AF25" s="621"/>
      <c r="AG25" s="622"/>
      <c r="AH25" s="589">
        <f>U25*AB25</f>
        <v>0</v>
      </c>
      <c r="AI25" s="590"/>
      <c r="AJ25" s="590"/>
      <c r="AK25" s="590"/>
      <c r="AL25" s="591"/>
    </row>
    <row r="26" spans="1:50" ht="13.5" customHeight="1">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1"/>
      <c r="AC26" s="121"/>
      <c r="AD26" s="121"/>
      <c r="AE26" s="121"/>
      <c r="AF26" s="121"/>
      <c r="AG26" s="121" t="s">
        <v>66</v>
      </c>
      <c r="AH26" s="586">
        <f>SUM(AH22:AL25)</f>
        <v>9400</v>
      </c>
      <c r="AI26" s="586"/>
      <c r="AJ26" s="586"/>
      <c r="AK26" s="586"/>
      <c r="AL26" s="586"/>
    </row>
    <row r="27" spans="1:50" ht="13.5" customHeight="1">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1"/>
      <c r="AC27" s="121"/>
      <c r="AD27" s="121"/>
      <c r="AE27" s="121"/>
      <c r="AF27" s="121"/>
      <c r="AG27" s="121" t="s">
        <v>581</v>
      </c>
      <c r="AH27" s="586">
        <f>IF(D8=6670428868,AX28,AX27)</f>
        <v>1050</v>
      </c>
      <c r="AI27" s="586"/>
      <c r="AJ27" s="586"/>
      <c r="AK27" s="586"/>
      <c r="AL27" s="586"/>
      <c r="AX27" s="311">
        <f>(AH26-AH23)*20/120</f>
        <v>1050</v>
      </c>
    </row>
    <row r="28" spans="1:50" ht="13.5" customHeight="1">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1"/>
      <c r="AC28" s="121"/>
      <c r="AD28" s="121"/>
      <c r="AE28" s="121"/>
      <c r="AF28" s="121"/>
      <c r="AG28" s="121" t="s">
        <v>188</v>
      </c>
      <c r="AH28" s="586">
        <f>AH26</f>
        <v>9400</v>
      </c>
      <c r="AI28" s="586"/>
      <c r="AJ28" s="586"/>
      <c r="AK28" s="586"/>
      <c r="AL28" s="586"/>
      <c r="AX28" s="2" t="s">
        <v>526</v>
      </c>
    </row>
    <row r="29" spans="1:50">
      <c r="B29" s="587" t="str">
        <f>CONCATENATE("Всего наименований ",AY3," на сумму ",AH28,",00 руб.")</f>
        <v>Всего наименований 4 на сумму 9400,00 руб.</v>
      </c>
      <c r="C29" s="587"/>
      <c r="D29" s="587"/>
      <c r="E29" s="587"/>
      <c r="F29" s="587"/>
      <c r="G29" s="587"/>
      <c r="H29" s="587"/>
      <c r="I29" s="587"/>
      <c r="J29" s="587"/>
      <c r="K29" s="587"/>
      <c r="L29" s="587"/>
      <c r="M29" s="587"/>
      <c r="N29" s="587"/>
      <c r="O29" s="587"/>
      <c r="P29" s="587"/>
      <c r="Q29" s="587"/>
      <c r="R29" s="587"/>
      <c r="S29" s="587"/>
      <c r="T29" s="587"/>
      <c r="U29" s="587"/>
      <c r="V29" s="587"/>
      <c r="W29" s="587"/>
      <c r="X29" s="587"/>
      <c r="Y29" s="587"/>
      <c r="Z29" s="587"/>
      <c r="AA29" s="587"/>
      <c r="AB29" s="587"/>
      <c r="AC29" s="587"/>
      <c r="AD29" s="587"/>
      <c r="AE29" s="587"/>
      <c r="AF29" s="587"/>
      <c r="AG29" s="587"/>
      <c r="AH29" s="587"/>
      <c r="AI29" s="587"/>
      <c r="AJ29" s="587"/>
      <c r="AK29" s="587"/>
      <c r="AL29" s="120"/>
    </row>
    <row r="30" spans="1:50">
      <c r="A30"/>
      <c r="B30" s="122" t="str">
        <f>SUBSTITUTE(PROPER(INDEX(n_4,MID(TEXT(A3,n0),1,1)+1)&amp;INDEX(n0x,MID(TEXT(A3,n0),2,1)+1,MID(TEXT(A3,n0),3,1)+1)&amp;IF(-MID(TEXT(A3,n0),1,3),"миллиард"&amp;VLOOKUP(MID(TEXT(A3,n0),3,1)*AND(MID(TEXT(A3,n0),2,1)-1),мил,2),"")&amp;INDEX(n_4,MID(TEXT(A3,n0),4,1)+1)&amp;INDEX(n0x,MID(TEXT(A3,n0),5,1)+1,MID(TEXT(A3,n0),6,1)+1)&amp;IF(-MID(TEXT(A3,n0),4,3),"миллион"&amp;VLOOKUP(MID(TEXT(A3,n0),6,1)*AND(MID(TEXT(A3,n0),5,1)-1),мил,2),"")&amp;INDEX(n_4,MID(TEXT(A3,n0),7,1)+1)&amp;INDEX(n1x,MID(TEXT(A3,n0),8,1)+1,MID(TEXT(A3,n0),9,1)+1)&amp;IF(-MID(TEXT(A3,n0),7,3),VLOOKUP(MID(TEXT(A3,n0),9,1)*AND(MID(TEXT(A3,n0),8,1)-1),тыс,2),"")&amp;INDEX(n_4,MID(TEXT(A3,n0),10,1)+1)&amp;INDEX(n0x,MID(TEXT(A3,n0),11,1)+1,MID(TEXT(A3,n0),12,1)+1)),"z"," ")&amp;IF(TRUNC(TEXT(A3,n0)),"","Ноль ")&amp;"рубл"&amp;VLOOKUP(MOD(MAX(MOD(MID(TEXT(A3,n0),11,2)-11,100),9),10),{0,"ь ";1,"я ";4,"ей "},2)&amp;RIGHT(TEXT(A3,n0),2)&amp;" копе"&amp;VLOOKUP(MOD(MAX(MOD(RIGHT(TEXT(A3,n0),2)-11,100),9),10),{0,"йка";1,"йки";4,"ек"},2)</f>
        <v>Девять тысяч четыреста рублей 00 копеек</v>
      </c>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19"/>
      <c r="AL30" s="119"/>
    </row>
    <row r="31" spans="1:50" s="113" customFormat="1" ht="2.25" customHeight="1" thickBot="1">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0"/>
    </row>
    <row r="32" spans="1:5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X32" s="131" t="str">
        <f>'Договор аренды лесов Юр'!BX4</f>
        <v>А.П. Выборных</v>
      </c>
    </row>
    <row r="33" spans="2:38">
      <c r="B33" s="124" t="s">
        <v>189</v>
      </c>
      <c r="C33" s="120"/>
      <c r="D33" s="120"/>
      <c r="E33" s="120"/>
      <c r="F33" s="120"/>
      <c r="G33" s="125"/>
      <c r="H33" s="125"/>
      <c r="I33" s="125"/>
      <c r="J33" s="125"/>
      <c r="K33" s="588" t="str">
        <f>AX32</f>
        <v>А.П. Выборных</v>
      </c>
      <c r="L33" s="588"/>
      <c r="M33" s="588"/>
      <c r="N33" s="588"/>
      <c r="O33" s="588"/>
      <c r="P33" s="588"/>
      <c r="Q33" s="588"/>
      <c r="R33" s="588"/>
      <c r="S33" s="588"/>
      <c r="T33" s="120"/>
      <c r="U33" s="120"/>
      <c r="V33" s="124" t="s">
        <v>190</v>
      </c>
      <c r="W33" s="120"/>
      <c r="X33" s="120"/>
      <c r="Y33" s="120"/>
      <c r="Z33" s="120"/>
      <c r="AA33" s="125"/>
      <c r="AB33" s="125"/>
      <c r="AC33" s="125"/>
      <c r="AD33" s="125"/>
      <c r="AE33" s="588" t="str">
        <f>AX32</f>
        <v>А.П. Выборных</v>
      </c>
      <c r="AF33" s="588"/>
      <c r="AG33" s="588"/>
      <c r="AH33" s="588"/>
      <c r="AI33" s="588"/>
      <c r="AJ33" s="588"/>
      <c r="AK33" s="588"/>
      <c r="AL33" s="120"/>
    </row>
    <row r="34" spans="2:38">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row>
    <row r="36" spans="2:38">
      <c r="C36" s="113" t="s">
        <v>285</v>
      </c>
    </row>
    <row r="37" spans="2:38">
      <c r="C37" s="113" t="s">
        <v>286</v>
      </c>
    </row>
  </sheetData>
  <mergeCells count="57">
    <mergeCell ref="X8:AK11"/>
    <mergeCell ref="B9:S10"/>
    <mergeCell ref="B11:S11"/>
    <mergeCell ref="B1:AK3"/>
    <mergeCell ref="B5:S6"/>
    <mergeCell ref="T5:W5"/>
    <mergeCell ref="X5:AK5"/>
    <mergeCell ref="T6:W7"/>
    <mergeCell ref="X6:AK7"/>
    <mergeCell ref="B7:S7"/>
    <mergeCell ref="B8:C8"/>
    <mergeCell ref="D8:J8"/>
    <mergeCell ref="K8:L8"/>
    <mergeCell ref="M8:S8"/>
    <mergeCell ref="T8:W11"/>
    <mergeCell ref="AH21:AL21"/>
    <mergeCell ref="B13:AK14"/>
    <mergeCell ref="B15:AK15"/>
    <mergeCell ref="B17:E17"/>
    <mergeCell ref="F17:AK17"/>
    <mergeCell ref="B19:E19"/>
    <mergeCell ref="F19:AK19"/>
    <mergeCell ref="B21:C21"/>
    <mergeCell ref="D21:T21"/>
    <mergeCell ref="U21:X21"/>
    <mergeCell ref="Y21:AA21"/>
    <mergeCell ref="AB21:AG21"/>
    <mergeCell ref="AH23:AL23"/>
    <mergeCell ref="B22:C22"/>
    <mergeCell ref="D22:T22"/>
    <mergeCell ref="U22:X22"/>
    <mergeCell ref="Y22:AA22"/>
    <mergeCell ref="AB22:AG22"/>
    <mergeCell ref="AH22:AL22"/>
    <mergeCell ref="B23:C23"/>
    <mergeCell ref="D23:T23"/>
    <mergeCell ref="U23:X23"/>
    <mergeCell ref="Y23:AA23"/>
    <mergeCell ref="AB23:AG23"/>
    <mergeCell ref="AH25:AL25"/>
    <mergeCell ref="B24:C24"/>
    <mergeCell ref="D24:T24"/>
    <mergeCell ref="U24:X24"/>
    <mergeCell ref="Y24:AA24"/>
    <mergeCell ref="AB24:AG24"/>
    <mergeCell ref="AH24:AL24"/>
    <mergeCell ref="B25:C25"/>
    <mergeCell ref="D25:T25"/>
    <mergeCell ref="U25:X25"/>
    <mergeCell ref="Y25:AA25"/>
    <mergeCell ref="AB25:AG25"/>
    <mergeCell ref="AH26:AL26"/>
    <mergeCell ref="AH27:AL27"/>
    <mergeCell ref="AH28:AL28"/>
    <mergeCell ref="B29:AK29"/>
    <mergeCell ref="K33:S33"/>
    <mergeCell ref="AE33:AK33"/>
  </mergeCells>
  <conditionalFormatting sqref="B23:AL25">
    <cfRule type="expression" dxfId="11" priority="4">
      <formula>$AY$3=1</formula>
    </cfRule>
  </conditionalFormatting>
  <conditionalFormatting sqref="B25:AL25">
    <cfRule type="expression" dxfId="10" priority="3">
      <formula>$AY$3=3</formula>
    </cfRule>
  </conditionalFormatting>
  <conditionalFormatting sqref="B24:AL25">
    <cfRule type="expression" dxfId="9" priority="1">
      <formula>$AY$3=2</formula>
    </cfRule>
  </conditionalFormatting>
  <pageMargins left="0.7" right="0.7" top="0.75" bottom="0.75" header="0.3" footer="0.3"/>
  <pageSetup paperSize="9" scale="95" orientation="portrait" horizontalDpi="180" verticalDpi="180" r:id="rId1"/>
</worksheet>
</file>

<file path=xl/worksheets/sheet8.xml><?xml version="1.0" encoding="utf-8"?>
<worksheet xmlns="http://schemas.openxmlformats.org/spreadsheetml/2006/main" xmlns:r="http://schemas.openxmlformats.org/officeDocument/2006/relationships">
  <sheetPr codeName="Лист6"/>
  <dimension ref="A1:BX270"/>
  <sheetViews>
    <sheetView topLeftCell="A134" zoomScaleNormal="100" workbookViewId="0">
      <selection activeCell="AV156" sqref="AV156"/>
    </sheetView>
  </sheetViews>
  <sheetFormatPr defaultColWidth="2" defaultRowHeight="15.75"/>
  <cols>
    <col min="1" max="3" width="2" style="93" customWidth="1"/>
    <col min="4" max="6" width="2" style="93"/>
    <col min="7" max="7" width="2.28515625" style="93" bestFit="1" customWidth="1"/>
    <col min="8" max="8" width="2" style="93"/>
    <col min="9" max="9" width="2.28515625" style="93" bestFit="1" customWidth="1"/>
    <col min="10" max="11" width="2.7109375" style="93" customWidth="1"/>
    <col min="12" max="12" width="2.42578125" style="93" customWidth="1"/>
    <col min="13" max="35" width="2" style="93"/>
    <col min="36" max="36" width="2" style="93" customWidth="1"/>
    <col min="37" max="45" width="2" style="93"/>
    <col min="46" max="46" width="1.5703125" style="93" customWidth="1"/>
    <col min="47" max="47" width="19.5703125" style="93" customWidth="1"/>
    <col min="48" max="48" width="18.42578125" style="93" customWidth="1"/>
    <col min="49" max="49" width="44.28515625" style="93" bestFit="1" customWidth="1"/>
    <col min="50" max="54" width="2" style="93"/>
    <col min="55" max="55" width="10.28515625" style="93" customWidth="1"/>
    <col min="56" max="57" width="2" style="93" hidden="1" customWidth="1"/>
    <col min="58" max="58" width="2.5703125" style="93" customWidth="1"/>
    <col min="59" max="59" width="3.28515625" style="93" hidden="1" customWidth="1"/>
    <col min="60" max="60" width="7.7109375" style="93" hidden="1" customWidth="1"/>
    <col min="61" max="61" width="8.5703125" style="93" hidden="1" customWidth="1"/>
    <col min="62" max="62" width="6.28515625" style="93" hidden="1" customWidth="1"/>
    <col min="63" max="63" width="17.5703125" style="93" customWidth="1"/>
    <col min="64" max="64" width="21" style="93" customWidth="1"/>
    <col min="65" max="65" width="3" style="93" bestFit="1" customWidth="1"/>
    <col min="66" max="74" width="2" style="93"/>
    <col min="75" max="75" width="17.7109375" style="93" bestFit="1" customWidth="1"/>
    <col min="76" max="76" width="63.7109375" style="93" bestFit="1" customWidth="1"/>
    <col min="77" max="16384" width="2" style="93"/>
  </cols>
  <sheetData>
    <row r="1" spans="1:76" ht="8.25" hidden="1" customHeight="1">
      <c r="A1" s="93">
        <f>'Вышки туры'!B5</f>
        <v>156</v>
      </c>
    </row>
    <row r="2" spans="1:76">
      <c r="AV2" s="127"/>
      <c r="AW2" s="267"/>
      <c r="BK2" s="467" t="s">
        <v>139</v>
      </c>
      <c r="BL2" s="467"/>
      <c r="BW2" s="307" t="s">
        <v>500</v>
      </c>
      <c r="BX2" s="93" t="str">
        <f>IF($AW$20="без НДС",реквизиты!C3,реквизиты!G3)</f>
        <v>Универсальная производственно-строительная компания</v>
      </c>
    </row>
    <row r="3" spans="1:76">
      <c r="A3" s="468" t="str">
        <f ca="1">CONCATENATE("ДОГОВОР АРЕНДЫ ОБОРУДОВАНИЯ №",ДляДоговора!B2)</f>
        <v>ДОГОВОР АРЕНДЫ ОБОРУДОВАНИЯ №30/03-А(23)</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V3" s="127"/>
      <c r="AW3" s="381"/>
      <c r="BK3" s="93" t="s">
        <v>138</v>
      </c>
      <c r="BL3" s="93">
        <f>'Вышки туры'!G2</f>
        <v>30</v>
      </c>
      <c r="BW3" s="307" t="s">
        <v>503</v>
      </c>
      <c r="BX3" s="306" t="str">
        <f>IF($AW$20="без НДС",реквизиты!C4,реквизиты!G4)</f>
        <v>Выборных Андрея Павловича</v>
      </c>
    </row>
    <row r="4" spans="1:76">
      <c r="AV4" s="127"/>
      <c r="AW4" s="382"/>
      <c r="BW4" s="307" t="s">
        <v>505</v>
      </c>
      <c r="BX4" s="306" t="str">
        <f>IF($AW$20="без НДС",реквизиты!C5,реквизиты!G5)</f>
        <v>А.П. Выборных</v>
      </c>
    </row>
    <row r="5" spans="1:76">
      <c r="A5" s="93" t="str">
        <f>ДляДоговора!B22</f>
        <v>г. Екатеринбург</v>
      </c>
      <c r="AK5" s="575" t="str">
        <f ca="1">ДляДоговора!B3</f>
        <v>30 марта 2023г.</v>
      </c>
      <c r="AL5" s="575"/>
      <c r="AM5" s="575"/>
      <c r="AN5" s="575"/>
      <c r="AO5" s="575"/>
      <c r="AP5" s="575"/>
      <c r="AQ5" s="575"/>
      <c r="AR5" s="575"/>
      <c r="AS5" s="575"/>
      <c r="AT5" s="575"/>
      <c r="AV5" s="127"/>
      <c r="AW5" s="127"/>
      <c r="BW5" s="307" t="s">
        <v>173</v>
      </c>
      <c r="BX5" s="306" t="str">
        <f>IF($AW$20="без НДС",реквизиты!C6,реквизиты!G6)</f>
        <v>6670463929</v>
      </c>
    </row>
    <row r="6" spans="1:76">
      <c r="AV6" s="127"/>
      <c r="AW6" s="127"/>
      <c r="BW6" s="307" t="s">
        <v>217</v>
      </c>
      <c r="BX6" s="306" t="str">
        <f>IF($AW$20="без НДС",реквизиты!C7,реквизиты!G7)</f>
        <v>667001001</v>
      </c>
    </row>
    <row r="7" spans="1:76" ht="15.75" customHeight="1">
      <c r="A7" s="571" t="str">
        <f>"Общество с ограниченной ответственностью «"&amp;BX2&amp;"» (ООО «УПСК»), именуемое в дальнейшем «Арендодатель», в лице директора "&amp;BX3&amp;", действующего на основании Устава, с одной стороны, и  "&amp;ДляДоговора!B4&amp;" именуемое в дальнейшем «Арендатор», в лице "&amp;ДляДоговора!B5&amp;" "&amp;ДляДоговора!B6&amp;", действующего на основании "&amp;ДляДоговора!B7&amp;ДляДоговора!B8&amp;", с другой стороны, именуемые вместе «Стороны», а по отдельности «Сторона», заключили настоящий договор (далее - Договор) о нижеследующем."</f>
        <v>Общество с ограниченной ответственностью «Универсальная производственно-строительная компания» (ООО «УПСК»), именуемое в дальнейшем «Арендодатель», в лице директора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именуемые вместе «Стороны», а по отдельности «Сторона», заключили настоящий договор (далее - Договор) о нижеследующем.</v>
      </c>
      <c r="B7" s="571"/>
      <c r="C7" s="571"/>
      <c r="D7" s="571"/>
      <c r="E7" s="571"/>
      <c r="F7" s="571"/>
      <c r="G7" s="571"/>
      <c r="H7" s="571"/>
      <c r="I7" s="571"/>
      <c r="J7" s="571"/>
      <c r="K7" s="571"/>
      <c r="L7" s="571"/>
      <c r="M7" s="571"/>
      <c r="N7" s="571"/>
      <c r="O7" s="571"/>
      <c r="P7" s="571"/>
      <c r="Q7" s="571"/>
      <c r="R7" s="571"/>
      <c r="S7" s="571"/>
      <c r="T7" s="571"/>
      <c r="U7" s="571"/>
      <c r="V7" s="571"/>
      <c r="W7" s="571"/>
      <c r="X7" s="571"/>
      <c r="Y7" s="571"/>
      <c r="Z7" s="571"/>
      <c r="AA7" s="571"/>
      <c r="AB7" s="571"/>
      <c r="AC7" s="571"/>
      <c r="AD7" s="571"/>
      <c r="AE7" s="571"/>
      <c r="AF7" s="571"/>
      <c r="AG7" s="571"/>
      <c r="AH7" s="571"/>
      <c r="AI7" s="571"/>
      <c r="AJ7" s="571"/>
      <c r="AK7" s="571"/>
      <c r="AL7" s="571"/>
      <c r="AM7" s="571"/>
      <c r="AN7" s="571"/>
      <c r="AO7" s="571"/>
      <c r="AP7" s="571"/>
      <c r="AQ7" s="571"/>
      <c r="AR7" s="571"/>
      <c r="AS7" s="571"/>
      <c r="AV7" s="127"/>
      <c r="AW7" s="379"/>
      <c r="BW7" s="307" t="s">
        <v>221</v>
      </c>
      <c r="BX7" s="306" t="str">
        <f>IF($AW$20="без НДС",реквизиты!C8,реквизиты!G8)</f>
        <v>1186658009042</v>
      </c>
    </row>
    <row r="8" spans="1:76" ht="15.75" customHeight="1">
      <c r="A8" s="571"/>
      <c r="B8" s="571"/>
      <c r="C8" s="571"/>
      <c r="D8" s="571"/>
      <c r="E8" s="571"/>
      <c r="F8" s="571"/>
      <c r="G8" s="571"/>
      <c r="H8" s="571"/>
      <c r="I8" s="571"/>
      <c r="J8" s="571"/>
      <c r="K8" s="571"/>
      <c r="L8" s="571"/>
      <c r="M8" s="571"/>
      <c r="N8" s="571"/>
      <c r="O8" s="571"/>
      <c r="P8" s="571"/>
      <c r="Q8" s="571"/>
      <c r="R8" s="571"/>
      <c r="S8" s="571"/>
      <c r="T8" s="571"/>
      <c r="U8" s="571"/>
      <c r="V8" s="571"/>
      <c r="W8" s="571"/>
      <c r="X8" s="571"/>
      <c r="Y8" s="571"/>
      <c r="Z8" s="571"/>
      <c r="AA8" s="571"/>
      <c r="AB8" s="571"/>
      <c r="AC8" s="571"/>
      <c r="AD8" s="571"/>
      <c r="AE8" s="571"/>
      <c r="AF8" s="571"/>
      <c r="AG8" s="571"/>
      <c r="AH8" s="571"/>
      <c r="AI8" s="571"/>
      <c r="AJ8" s="571"/>
      <c r="AK8" s="571"/>
      <c r="AL8" s="571"/>
      <c r="AM8" s="571"/>
      <c r="AN8" s="571"/>
      <c r="AO8" s="571"/>
      <c r="AP8" s="571"/>
      <c r="AQ8" s="571"/>
      <c r="AR8" s="571"/>
      <c r="AS8" s="571"/>
      <c r="AV8" s="127"/>
      <c r="AW8" s="380"/>
      <c r="BL8" s="196">
        <f ca="1">TODAY()</f>
        <v>45015</v>
      </c>
      <c r="BW8" s="307" t="s">
        <v>509</v>
      </c>
      <c r="BX8" s="306" t="str">
        <f>IF($AW$20="без НДС",реквизиты!C9,реквизиты!G9)</f>
        <v>620066, Свердловская область, г. Екатеринбург, ул. Вилонова, стр. 45Л, офис 506,</v>
      </c>
    </row>
    <row r="9" spans="1:76">
      <c r="A9" s="571"/>
      <c r="B9" s="571"/>
      <c r="C9" s="571"/>
      <c r="D9" s="571"/>
      <c r="E9" s="571"/>
      <c r="F9" s="571"/>
      <c r="G9" s="571"/>
      <c r="H9" s="571"/>
      <c r="I9" s="571"/>
      <c r="J9" s="571"/>
      <c r="K9" s="571"/>
      <c r="L9" s="571"/>
      <c r="M9" s="571"/>
      <c r="N9" s="571"/>
      <c r="O9" s="571"/>
      <c r="P9" s="571"/>
      <c r="Q9" s="571"/>
      <c r="R9" s="571"/>
      <c r="S9" s="571"/>
      <c r="T9" s="571"/>
      <c r="U9" s="571"/>
      <c r="V9" s="571"/>
      <c r="W9" s="571"/>
      <c r="X9" s="571"/>
      <c r="Y9" s="571"/>
      <c r="Z9" s="571"/>
      <c r="AA9" s="571"/>
      <c r="AB9" s="571"/>
      <c r="AC9" s="571"/>
      <c r="AD9" s="571"/>
      <c r="AE9" s="571"/>
      <c r="AF9" s="571"/>
      <c r="AG9" s="571"/>
      <c r="AH9" s="571"/>
      <c r="AI9" s="571"/>
      <c r="AJ9" s="571"/>
      <c r="AK9" s="571"/>
      <c r="AL9" s="571"/>
      <c r="AM9" s="571"/>
      <c r="AN9" s="571"/>
      <c r="AO9" s="571"/>
      <c r="AP9" s="571"/>
      <c r="AQ9" s="571"/>
      <c r="AR9" s="571"/>
      <c r="AS9" s="571"/>
      <c r="AV9" s="127"/>
      <c r="AW9" s="380"/>
      <c r="BL9" s="93">
        <f ca="1">DAY(TODAY())</f>
        <v>30</v>
      </c>
      <c r="BM9" s="93">
        <v>-4</v>
      </c>
      <c r="BW9" s="307" t="s">
        <v>508</v>
      </c>
      <c r="BX9" s="306" t="str">
        <f>IF($AW$20="без НДС",реквизиты!C10,реквизиты!G10)</f>
        <v>620066, Свердловская область, г. Екатеринбург, ул. Вилонова, стр. 45Л</v>
      </c>
    </row>
    <row r="10" spans="1:76">
      <c r="A10" s="571"/>
      <c r="B10" s="571"/>
      <c r="C10" s="571"/>
      <c r="D10" s="571"/>
      <c r="E10" s="571"/>
      <c r="F10" s="571"/>
      <c r="G10" s="571"/>
      <c r="H10" s="571"/>
      <c r="I10" s="571"/>
      <c r="J10" s="571"/>
      <c r="K10" s="571"/>
      <c r="L10" s="571"/>
      <c r="M10" s="571"/>
      <c r="N10" s="571"/>
      <c r="O10" s="571"/>
      <c r="P10" s="571"/>
      <c r="Q10" s="571"/>
      <c r="R10" s="571"/>
      <c r="S10" s="571"/>
      <c r="T10" s="571"/>
      <c r="U10" s="571"/>
      <c r="V10" s="571"/>
      <c r="W10" s="571"/>
      <c r="X10" s="571"/>
      <c r="Y10" s="571"/>
      <c r="Z10" s="571"/>
      <c r="AA10" s="571"/>
      <c r="AB10" s="571"/>
      <c r="AC10" s="571"/>
      <c r="AD10" s="571"/>
      <c r="AE10" s="571"/>
      <c r="AF10" s="571"/>
      <c r="AG10" s="571"/>
      <c r="AH10" s="571"/>
      <c r="AI10" s="571"/>
      <c r="AJ10" s="571"/>
      <c r="AK10" s="571"/>
      <c r="AL10" s="571"/>
      <c r="AM10" s="571"/>
      <c r="AN10" s="571"/>
      <c r="AO10" s="571"/>
      <c r="AP10" s="571"/>
      <c r="AQ10" s="571"/>
      <c r="AR10" s="571"/>
      <c r="AS10" s="571"/>
      <c r="AV10" s="127"/>
      <c r="AW10" s="380"/>
      <c r="BF10" s="93">
        <f ca="1">MONTH(TODAY())</f>
        <v>3</v>
      </c>
      <c r="BL10" s="93">
        <f ca="1">YEAR(TODAY())</f>
        <v>2023</v>
      </c>
      <c r="BW10" s="307" t="s">
        <v>511</v>
      </c>
      <c r="BX10" s="306" t="str">
        <f>IF($AW$20="без НДС",реквизиты!C11,реквизиты!G11)</f>
        <v>40702810816540041503</v>
      </c>
    </row>
    <row r="11" spans="1:76" ht="26.25" customHeight="1">
      <c r="A11" s="571"/>
      <c r="B11" s="571"/>
      <c r="C11" s="571"/>
      <c r="D11" s="571"/>
      <c r="E11" s="571"/>
      <c r="F11" s="571"/>
      <c r="G11" s="571"/>
      <c r="H11" s="571"/>
      <c r="I11" s="571"/>
      <c r="J11" s="571"/>
      <c r="K11" s="571"/>
      <c r="L11" s="571"/>
      <c r="M11" s="571"/>
      <c r="N11" s="571"/>
      <c r="O11" s="571"/>
      <c r="P11" s="571"/>
      <c r="Q11" s="571"/>
      <c r="R11" s="571"/>
      <c r="S11" s="571"/>
      <c r="T11" s="571"/>
      <c r="U11" s="571"/>
      <c r="V11" s="571"/>
      <c r="W11" s="571"/>
      <c r="X11" s="571"/>
      <c r="Y11" s="571"/>
      <c r="Z11" s="571"/>
      <c r="AA11" s="571"/>
      <c r="AB11" s="571"/>
      <c r="AC11" s="571"/>
      <c r="AD11" s="571"/>
      <c r="AE11" s="571"/>
      <c r="AF11" s="571"/>
      <c r="AG11" s="571"/>
      <c r="AH11" s="571"/>
      <c r="AI11" s="571"/>
      <c r="AJ11" s="571"/>
      <c r="AK11" s="571"/>
      <c r="AL11" s="571"/>
      <c r="AM11" s="571"/>
      <c r="AN11" s="571"/>
      <c r="AO11" s="571"/>
      <c r="AP11" s="571"/>
      <c r="AQ11" s="571"/>
      <c r="AR11" s="571"/>
      <c r="AS11" s="571"/>
      <c r="AV11" s="127"/>
      <c r="AW11" s="379"/>
      <c r="BL11" s="208" t="str">
        <f ca="1">IF(BF10=1,"01",IF(BF10=2,"02",IF(BF10=3,"03",IF(BF10=4,"04",IF(BF10=5,"05",IF(BF10=6,"06",IF(BF10=7,"07",IF(BF10=8,"08",IF(BF10=9,"09",IF(BF10=10,"10",IF(BF10=11,"11",IF(BF10=12,"12"))))))))))))</f>
        <v>03</v>
      </c>
      <c r="BW11" s="307" t="s">
        <v>219</v>
      </c>
      <c r="BX11" s="306" t="str">
        <f>IF($AW$20="без НДС",реквизиты!C12,реквизиты!G12)</f>
        <v>УРАЛЬСКИЙ БАНК ПАО СБЕРБАНК</v>
      </c>
    </row>
    <row r="12" spans="1:76">
      <c r="V12" s="94"/>
      <c r="AV12" s="127"/>
      <c r="AW12" s="380"/>
      <c r="BW12" s="307" t="s">
        <v>510</v>
      </c>
      <c r="BX12" s="306" t="str">
        <f>IF($AW$20="без НДС",реквизиты!C13,реквизиты!G13)</f>
        <v>30101810500000000674</v>
      </c>
    </row>
    <row r="13" spans="1:76">
      <c r="A13" s="574" t="s">
        <v>99</v>
      </c>
      <c r="B13" s="574"/>
      <c r="C13" s="574"/>
      <c r="D13" s="574"/>
      <c r="E13" s="574"/>
      <c r="F13" s="574"/>
      <c r="G13" s="574"/>
      <c r="H13" s="574"/>
      <c r="I13" s="574"/>
      <c r="J13" s="574"/>
      <c r="K13" s="574"/>
      <c r="L13" s="574"/>
      <c r="M13" s="574"/>
      <c r="N13" s="574"/>
      <c r="O13" s="574"/>
      <c r="P13" s="574"/>
      <c r="Q13" s="574"/>
      <c r="R13" s="574"/>
      <c r="S13" s="574"/>
      <c r="T13" s="574"/>
      <c r="U13" s="574"/>
      <c r="V13" s="574"/>
      <c r="W13" s="574"/>
      <c r="X13" s="574"/>
      <c r="Y13" s="574"/>
      <c r="Z13" s="574"/>
      <c r="AA13" s="574"/>
      <c r="AB13" s="574"/>
      <c r="AC13" s="574"/>
      <c r="AD13" s="574"/>
      <c r="AE13" s="574"/>
      <c r="AF13" s="574"/>
      <c r="AG13" s="574"/>
      <c r="AH13" s="574"/>
      <c r="AI13" s="574"/>
      <c r="AJ13" s="574"/>
      <c r="AK13" s="574"/>
      <c r="AL13" s="574"/>
      <c r="AM13" s="574"/>
      <c r="AN13" s="574"/>
      <c r="AO13" s="574"/>
      <c r="AP13" s="574"/>
      <c r="AQ13" s="574"/>
      <c r="AR13" s="574"/>
      <c r="AS13" s="574"/>
      <c r="AV13" s="127"/>
      <c r="AW13" s="380"/>
      <c r="BL13" s="193" t="str">
        <f ca="1">IF(BF10=1,"января",IF(BF10=2,"февраля",IF(BF10=3,"марта",IF(BF10=4,"апреля",IF(BF10=5,"мая",IF(BF10=6,"июня",IF(BF10=7,"июля",IF(BF10=8,"августа",IF(BF10=9,"сентября",IF(BF10=10,"октября",IF(BF10=11,"ноября",IF(BF10=12,"декабря"))))))))))))</f>
        <v>марта</v>
      </c>
      <c r="BW13" s="307" t="s">
        <v>170</v>
      </c>
      <c r="BX13" s="306" t="str">
        <f>IF($AW$20="без НДС",реквизиты!C14,реквизиты!G14)</f>
        <v>046577674</v>
      </c>
    </row>
    <row r="14" spans="1:76" ht="30" customHeight="1">
      <c r="A14" s="571" t="s">
        <v>462</v>
      </c>
      <c r="B14" s="571"/>
      <c r="C14" s="571"/>
      <c r="D14" s="571"/>
      <c r="E14" s="571"/>
      <c r="F14" s="571"/>
      <c r="G14" s="571"/>
      <c r="H14" s="571"/>
      <c r="I14" s="571"/>
      <c r="J14" s="571"/>
      <c r="K14" s="571"/>
      <c r="L14" s="571"/>
      <c r="M14" s="571"/>
      <c r="N14" s="571"/>
      <c r="O14" s="571"/>
      <c r="P14" s="571"/>
      <c r="Q14" s="571"/>
      <c r="R14" s="571"/>
      <c r="S14" s="571"/>
      <c r="T14" s="571"/>
      <c r="U14" s="571"/>
      <c r="V14" s="571"/>
      <c r="W14" s="571"/>
      <c r="X14" s="571"/>
      <c r="Y14" s="571"/>
      <c r="Z14" s="571"/>
      <c r="AA14" s="571"/>
      <c r="AB14" s="571"/>
      <c r="AC14" s="571"/>
      <c r="AD14" s="571"/>
      <c r="AE14" s="571"/>
      <c r="AF14" s="571"/>
      <c r="AG14" s="571"/>
      <c r="AH14" s="571"/>
      <c r="AI14" s="571"/>
      <c r="AJ14" s="571"/>
      <c r="AK14" s="571"/>
      <c r="AL14" s="571"/>
      <c r="AM14" s="571"/>
      <c r="AN14" s="571"/>
      <c r="AO14" s="571"/>
      <c r="AP14" s="571"/>
      <c r="AQ14" s="571"/>
      <c r="AR14" s="571"/>
      <c r="AS14" s="571"/>
      <c r="AV14" s="127"/>
      <c r="AW14" s="380"/>
    </row>
    <row r="15" spans="1:76" ht="15" customHeight="1">
      <c r="A15" s="571"/>
      <c r="B15" s="571"/>
      <c r="C15" s="571"/>
      <c r="D15" s="571"/>
      <c r="E15" s="571"/>
      <c r="F15" s="571"/>
      <c r="G15" s="571"/>
      <c r="H15" s="571"/>
      <c r="I15" s="571"/>
      <c r="J15" s="571"/>
      <c r="K15" s="571"/>
      <c r="L15" s="571"/>
      <c r="M15" s="571"/>
      <c r="N15" s="571"/>
      <c r="O15" s="571"/>
      <c r="P15" s="571"/>
      <c r="Q15" s="571"/>
      <c r="R15" s="571"/>
      <c r="S15" s="571"/>
      <c r="T15" s="571"/>
      <c r="U15" s="571"/>
      <c r="V15" s="571"/>
      <c r="W15" s="571"/>
      <c r="X15" s="571"/>
      <c r="Y15" s="571"/>
      <c r="Z15" s="571"/>
      <c r="AA15" s="571"/>
      <c r="AB15" s="571"/>
      <c r="AC15" s="571"/>
      <c r="AD15" s="571"/>
      <c r="AE15" s="571"/>
      <c r="AF15" s="571"/>
      <c r="AG15" s="571"/>
      <c r="AH15" s="571"/>
      <c r="AI15" s="571"/>
      <c r="AJ15" s="571"/>
      <c r="AK15" s="571"/>
      <c r="AL15" s="571"/>
      <c r="AM15" s="571"/>
      <c r="AN15" s="571"/>
      <c r="AO15" s="571"/>
      <c r="AP15" s="571"/>
      <c r="AQ15" s="571"/>
      <c r="AR15" s="571"/>
      <c r="AS15" s="571"/>
      <c r="AV15" s="127"/>
      <c r="AW15" s="379"/>
    </row>
    <row r="16" spans="1:76" ht="15" hidden="1" customHeight="1">
      <c r="A16" s="571"/>
      <c r="B16" s="571"/>
      <c r="C16" s="571"/>
      <c r="D16" s="571"/>
      <c r="E16" s="571"/>
      <c r="F16" s="571"/>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1"/>
      <c r="AL16" s="571"/>
      <c r="AM16" s="571"/>
      <c r="AN16" s="571"/>
      <c r="AO16" s="571"/>
      <c r="AP16" s="571"/>
      <c r="AQ16" s="571"/>
      <c r="AR16" s="571"/>
      <c r="AS16" s="571"/>
      <c r="AV16" s="127"/>
      <c r="AW16" s="127"/>
    </row>
    <row r="17" spans="1:49" ht="15.75" customHeight="1">
      <c r="A17" s="564" t="s">
        <v>350</v>
      </c>
      <c r="B17" s="564"/>
      <c r="C17" s="564"/>
      <c r="D17" s="564"/>
      <c r="E17" s="564"/>
      <c r="F17" s="564"/>
      <c r="G17" s="564"/>
      <c r="H17" s="564"/>
      <c r="I17" s="564"/>
      <c r="J17" s="564"/>
      <c r="K17" s="564"/>
      <c r="L17" s="564"/>
      <c r="M17" s="564"/>
      <c r="N17" s="564"/>
      <c r="O17" s="564"/>
      <c r="P17" s="564"/>
      <c r="Q17" s="564"/>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V17" s="127"/>
      <c r="AW17" s="127"/>
    </row>
    <row r="18" spans="1:49" ht="30" customHeight="1">
      <c r="A18" s="571" t="s">
        <v>351</v>
      </c>
      <c r="B18" s="571"/>
      <c r="C18" s="571"/>
      <c r="D18" s="571"/>
      <c r="E18" s="571"/>
      <c r="F18" s="571"/>
      <c r="G18" s="571"/>
      <c r="H18" s="571"/>
      <c r="I18" s="571"/>
      <c r="J18" s="571"/>
      <c r="K18" s="571"/>
      <c r="L18" s="571"/>
      <c r="M18" s="571"/>
      <c r="N18" s="571"/>
      <c r="O18" s="571"/>
      <c r="P18" s="571"/>
      <c r="Q18" s="571"/>
      <c r="R18" s="571"/>
      <c r="S18" s="571"/>
      <c r="T18" s="571"/>
      <c r="U18" s="571"/>
      <c r="V18" s="571"/>
      <c r="W18" s="571"/>
      <c r="X18" s="571"/>
      <c r="Y18" s="571"/>
      <c r="Z18" s="571"/>
      <c r="AA18" s="571"/>
      <c r="AB18" s="571"/>
      <c r="AC18" s="571"/>
      <c r="AD18" s="571"/>
      <c r="AE18" s="571"/>
      <c r="AF18" s="571"/>
      <c r="AG18" s="571"/>
      <c r="AH18" s="571"/>
      <c r="AI18" s="571"/>
      <c r="AJ18" s="571"/>
      <c r="AK18" s="571"/>
      <c r="AL18" s="571"/>
      <c r="AM18" s="571"/>
      <c r="AN18" s="571"/>
      <c r="AO18" s="571"/>
      <c r="AP18" s="571"/>
      <c r="AQ18" s="571"/>
      <c r="AR18" s="571"/>
      <c r="AS18" s="571"/>
      <c r="AV18" s="127"/>
      <c r="AW18" s="376"/>
    </row>
    <row r="19" spans="1:49">
      <c r="A19" s="137"/>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row>
    <row r="20" spans="1:49" ht="15.75" customHeight="1">
      <c r="A20" s="570" t="s">
        <v>352</v>
      </c>
      <c r="B20" s="570"/>
      <c r="C20" s="570"/>
      <c r="D20" s="570"/>
      <c r="E20" s="570"/>
      <c r="F20" s="570"/>
      <c r="G20" s="570"/>
      <c r="H20" s="570"/>
      <c r="I20" s="570"/>
      <c r="J20" s="570"/>
      <c r="K20" s="570"/>
      <c r="L20" s="570"/>
      <c r="M20" s="570"/>
      <c r="N20" s="570"/>
      <c r="O20" s="570"/>
      <c r="P20" s="570"/>
      <c r="Q20" s="570"/>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V20" s="305" t="s">
        <v>523</v>
      </c>
      <c r="AW20" s="304" t="s">
        <v>534</v>
      </c>
    </row>
    <row r="21" spans="1:49" ht="30" customHeight="1">
      <c r="A21" s="576" t="s">
        <v>371</v>
      </c>
      <c r="B21" s="576"/>
      <c r="C21" s="576"/>
      <c r="D21" s="576"/>
      <c r="E21" s="576"/>
      <c r="F21" s="576"/>
      <c r="G21" s="576"/>
      <c r="H21" s="576"/>
      <c r="I21" s="576"/>
      <c r="J21" s="576"/>
      <c r="K21" s="576"/>
      <c r="L21" s="576"/>
      <c r="M21" s="576"/>
      <c r="N21" s="576"/>
      <c r="O21" s="576"/>
      <c r="P21" s="576"/>
      <c r="Q21" s="576"/>
      <c r="R21" s="576"/>
      <c r="S21" s="576"/>
      <c r="T21" s="576"/>
      <c r="U21" s="576"/>
      <c r="V21" s="576"/>
      <c r="W21" s="576"/>
      <c r="X21" s="576"/>
      <c r="Y21" s="576"/>
      <c r="Z21" s="576"/>
      <c r="AA21" s="576"/>
      <c r="AB21" s="576"/>
      <c r="AC21" s="576"/>
      <c r="AD21" s="576"/>
      <c r="AE21" s="576"/>
      <c r="AF21" s="576"/>
      <c r="AG21" s="576"/>
      <c r="AH21" s="576"/>
      <c r="AI21" s="576"/>
      <c r="AJ21" s="576"/>
      <c r="AK21" s="576"/>
      <c r="AL21" s="576"/>
      <c r="AM21" s="576"/>
      <c r="AN21" s="576"/>
      <c r="AO21" s="576"/>
      <c r="AP21" s="576"/>
      <c r="AQ21" s="576"/>
      <c r="AR21" s="576"/>
      <c r="AS21" s="576"/>
    </row>
    <row r="22" spans="1:49" ht="30" customHeight="1">
      <c r="A22" s="576" t="s">
        <v>372</v>
      </c>
      <c r="B22" s="576"/>
      <c r="C22" s="576"/>
      <c r="D22" s="576"/>
      <c r="E22" s="576"/>
      <c r="F22" s="576"/>
      <c r="G22" s="576"/>
      <c r="H22" s="576"/>
      <c r="I22" s="576"/>
      <c r="J22" s="576"/>
      <c r="K22" s="576"/>
      <c r="L22" s="576"/>
      <c r="M22" s="576"/>
      <c r="N22" s="576"/>
      <c r="O22" s="576"/>
      <c r="P22" s="576"/>
      <c r="Q22" s="576"/>
      <c r="R22" s="576"/>
      <c r="S22" s="576"/>
      <c r="T22" s="576"/>
      <c r="U22" s="576"/>
      <c r="V22" s="576"/>
      <c r="W22" s="576"/>
      <c r="X22" s="576"/>
      <c r="Y22" s="576"/>
      <c r="Z22" s="576"/>
      <c r="AA22" s="576"/>
      <c r="AB22" s="576"/>
      <c r="AC22" s="576"/>
      <c r="AD22" s="576"/>
      <c r="AE22" s="576"/>
      <c r="AF22" s="576"/>
      <c r="AG22" s="576"/>
      <c r="AH22" s="576"/>
      <c r="AI22" s="576"/>
      <c r="AJ22" s="576"/>
      <c r="AK22" s="576"/>
      <c r="AL22" s="576"/>
      <c r="AM22" s="576"/>
      <c r="AN22" s="576"/>
      <c r="AO22" s="576"/>
      <c r="AP22" s="576"/>
      <c r="AQ22" s="576"/>
      <c r="AR22" s="576"/>
      <c r="AS22" s="576"/>
      <c r="AV22" s="93" t="s">
        <v>14</v>
      </c>
      <c r="AW22" s="93">
        <f>'Вышки туры'!G1</f>
        <v>3.89</v>
      </c>
    </row>
    <row r="23" spans="1:49" ht="45" customHeight="1">
      <c r="A23" s="576" t="s">
        <v>370</v>
      </c>
      <c r="B23" s="576"/>
      <c r="C23" s="576"/>
      <c r="D23" s="576"/>
      <c r="E23" s="576"/>
      <c r="F23" s="576"/>
      <c r="G23" s="576"/>
      <c r="H23" s="576"/>
      <c r="I23" s="576"/>
      <c r="J23" s="576"/>
      <c r="K23" s="576"/>
      <c r="L23" s="576"/>
      <c r="M23" s="576"/>
      <c r="N23" s="576"/>
      <c r="O23" s="576"/>
      <c r="P23" s="576"/>
      <c r="Q23" s="576"/>
      <c r="R23" s="576"/>
      <c r="S23" s="576"/>
      <c r="T23" s="576"/>
      <c r="U23" s="576"/>
      <c r="V23" s="576"/>
      <c r="W23" s="576"/>
      <c r="X23" s="576"/>
      <c r="Y23" s="576"/>
      <c r="Z23" s="576"/>
      <c r="AA23" s="576"/>
      <c r="AB23" s="576"/>
      <c r="AC23" s="576"/>
      <c r="AD23" s="576"/>
      <c r="AE23" s="576"/>
      <c r="AF23" s="576"/>
      <c r="AG23" s="576"/>
      <c r="AH23" s="576"/>
      <c r="AI23" s="576"/>
      <c r="AJ23" s="576"/>
      <c r="AK23" s="576"/>
      <c r="AL23" s="576"/>
      <c r="AM23" s="576"/>
      <c r="AN23" s="576"/>
      <c r="AO23" s="576"/>
      <c r="AP23" s="576"/>
      <c r="AQ23" s="576"/>
      <c r="AR23" s="576"/>
      <c r="AS23" s="576"/>
      <c r="AV23" s="93" t="s">
        <v>427</v>
      </c>
      <c r="AW23" s="93">
        <f>'Вышки туры'!G3</f>
        <v>1</v>
      </c>
    </row>
    <row r="24" spans="1:49" ht="30" customHeight="1">
      <c r="A24" s="576" t="s">
        <v>369</v>
      </c>
      <c r="B24" s="576"/>
      <c r="C24" s="576"/>
      <c r="D24" s="576"/>
      <c r="E24" s="576"/>
      <c r="F24" s="576"/>
      <c r="G24" s="576"/>
      <c r="H24" s="576"/>
      <c r="I24" s="576"/>
      <c r="J24" s="576"/>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c r="AV24" s="93" t="s">
        <v>104</v>
      </c>
      <c r="AW24" s="127" t="str">
        <f>SUBSTITUTE(PROPER(INDEX(n_4,MID(TEXT(A1,n0),1,1)+1)&amp;INDEX(n0x,MID(TEXT(A1,n0),2,1)+1,MID(TEXT(A1,n0),3,1)+1)&amp;IF(-MID(TEXT(A1,n0),1,3),"миллиард"&amp;VLOOKUP(MID(TEXT(A1,n0),3,1)*AND(MID(TEXT(A1,n0),2,1)-1),мил,2),"")&amp;INDEX(n_4,MID(TEXT(A1,n0),4,1)+1)&amp;INDEX(n0x,MID(TEXT(A1,n0),5,1)+1,MID(TEXT(A1,n0),6,1)+1)&amp;IF(-MID(TEXT(A1,n0),4,3),"миллион"&amp;VLOOKUP(MID(TEXT(A1,n0),6,1)*AND(MID(TEXT(A1,n0),5,1)-1),мил,2),"")&amp;INDEX(n_4,MID(TEXT(A1,n0),7,1)+1)&amp;INDEX(n1x,MID(TEXT(A1,n0),8,1)+1,MID(TEXT(A1,n0),9,1)+1)&amp;IF(-MID(TEXT(A1,n0),7,3),VLOOKUP(MID(TEXT(A1,n0),9,1)*AND(MID(TEXT(A1,n0),8,1)-1),тыс,2),"")&amp;INDEX(n_4,MID(TEXT(A1,n0),10,1)+1)&amp;INDEX(n0x,MID(TEXT(A1,n0),11,1)+1,MID(TEXT(A1,n0),12,1)+1)),"z"," ")&amp;IF(TRUNC(TEXT(A1,n0)),"","Ноль ")&amp;"рубл"&amp;VLOOKUP(MOD(MAX(MOD(MID(TEXT(A1,n0),11,2)-11,100),9),10),{0,"ь ";1,"я ";4,"ей "},2)&amp;RIGHT(TEXT(A1,n0),2)&amp;" копе"&amp;VLOOKUP(MOD(MAX(MOD(RIGHT(TEXT(A1,n0),2)-11,100),9),10),{0,"йка";1,"йки";4,"ек"},2)</f>
        <v>Сто пятьдесят шесть рублей 00 копеек</v>
      </c>
    </row>
    <row r="25" spans="1:49" ht="60" customHeight="1">
      <c r="A25" s="576" t="s">
        <v>368</v>
      </c>
      <c r="B25" s="576"/>
      <c r="C25" s="576"/>
      <c r="D25" s="576"/>
      <c r="E25" s="576"/>
      <c r="F25" s="576"/>
      <c r="G25" s="576"/>
      <c r="H25" s="576"/>
      <c r="I25" s="576"/>
      <c r="J25" s="576"/>
      <c r="K25" s="576"/>
      <c r="L25" s="576"/>
      <c r="M25" s="576"/>
      <c r="N25" s="576"/>
      <c r="O25" s="576"/>
      <c r="P25" s="576"/>
      <c r="Q25" s="576"/>
      <c r="R25" s="576"/>
      <c r="S25" s="576"/>
      <c r="T25" s="576"/>
      <c r="U25" s="576"/>
      <c r="V25" s="576"/>
      <c r="W25" s="576"/>
      <c r="X25" s="576"/>
      <c r="Y25" s="576"/>
      <c r="Z25" s="576"/>
      <c r="AA25" s="576"/>
      <c r="AB25" s="576"/>
      <c r="AC25" s="576"/>
      <c r="AD25" s="576"/>
      <c r="AE25" s="576"/>
      <c r="AF25" s="576"/>
      <c r="AG25" s="576"/>
      <c r="AH25" s="576"/>
      <c r="AI25" s="576"/>
      <c r="AJ25" s="576"/>
      <c r="AK25" s="576"/>
      <c r="AL25" s="576"/>
      <c r="AM25" s="576"/>
      <c r="AN25" s="576"/>
      <c r="AO25" s="576"/>
      <c r="AP25" s="576"/>
      <c r="AQ25" s="576"/>
      <c r="AR25" s="576"/>
      <c r="AS25" s="576"/>
    </row>
    <row r="26" spans="1:49" ht="60" customHeight="1">
      <c r="A26" s="576" t="s">
        <v>367</v>
      </c>
      <c r="B26" s="576"/>
      <c r="C26" s="576"/>
      <c r="D26" s="576"/>
      <c r="E26" s="576"/>
      <c r="F26" s="576"/>
      <c r="G26" s="576"/>
      <c r="H26" s="576"/>
      <c r="I26" s="576"/>
      <c r="J26" s="576"/>
      <c r="K26" s="576"/>
      <c r="L26" s="576"/>
      <c r="M26" s="576"/>
      <c r="N26" s="576"/>
      <c r="O26" s="576"/>
      <c r="P26" s="576"/>
      <c r="Q26" s="576"/>
      <c r="R26" s="576"/>
      <c r="S26" s="576"/>
      <c r="T26" s="576"/>
      <c r="U26" s="576"/>
      <c r="V26" s="576"/>
      <c r="W26" s="576"/>
      <c r="X26" s="576"/>
      <c r="Y26" s="576"/>
      <c r="Z26" s="576"/>
      <c r="AA26" s="576"/>
      <c r="AB26" s="576"/>
      <c r="AC26" s="576"/>
      <c r="AD26" s="576"/>
      <c r="AE26" s="576"/>
      <c r="AF26" s="576"/>
      <c r="AG26" s="576"/>
      <c r="AH26" s="576"/>
      <c r="AI26" s="576"/>
      <c r="AJ26" s="576"/>
      <c r="AK26" s="576"/>
      <c r="AL26" s="576"/>
      <c r="AM26" s="576"/>
      <c r="AN26" s="576"/>
      <c r="AO26" s="576"/>
      <c r="AP26" s="576"/>
      <c r="AQ26" s="576"/>
      <c r="AR26" s="576"/>
      <c r="AS26" s="576"/>
    </row>
    <row r="27" spans="1:49" ht="30" customHeight="1">
      <c r="A27" s="576" t="s">
        <v>366</v>
      </c>
      <c r="B27" s="576"/>
      <c r="C27" s="576"/>
      <c r="D27" s="576"/>
      <c r="E27" s="576"/>
      <c r="F27" s="576"/>
      <c r="G27" s="576"/>
      <c r="H27" s="576"/>
      <c r="I27" s="576"/>
      <c r="J27" s="576"/>
      <c r="K27" s="576"/>
      <c r="L27" s="576"/>
      <c r="M27" s="576"/>
      <c r="N27" s="576"/>
      <c r="O27" s="576"/>
      <c r="P27" s="576"/>
      <c r="Q27" s="576"/>
      <c r="R27" s="576"/>
      <c r="S27" s="576"/>
      <c r="T27" s="576"/>
      <c r="U27" s="576"/>
      <c r="V27" s="576"/>
      <c r="W27" s="576"/>
      <c r="X27" s="576"/>
      <c r="Y27" s="576"/>
      <c r="Z27" s="576"/>
      <c r="AA27" s="576"/>
      <c r="AB27" s="576"/>
      <c r="AC27" s="576"/>
      <c r="AD27" s="576"/>
      <c r="AE27" s="576"/>
      <c r="AF27" s="576"/>
      <c r="AG27" s="576"/>
      <c r="AH27" s="576"/>
      <c r="AI27" s="576"/>
      <c r="AJ27" s="576"/>
      <c r="AK27" s="576"/>
      <c r="AL27" s="576"/>
      <c r="AM27" s="576"/>
      <c r="AN27" s="576"/>
      <c r="AO27" s="576"/>
      <c r="AP27" s="576"/>
      <c r="AQ27" s="576"/>
      <c r="AR27" s="576"/>
      <c r="AS27" s="576"/>
    </row>
    <row r="28" spans="1:49" ht="30" customHeight="1">
      <c r="A28" s="576" t="s">
        <v>365</v>
      </c>
      <c r="B28" s="576"/>
      <c r="C28" s="576"/>
      <c r="D28" s="576"/>
      <c r="E28" s="576"/>
      <c r="F28" s="576"/>
      <c r="G28" s="576"/>
      <c r="H28" s="576"/>
      <c r="I28" s="576"/>
      <c r="J28" s="576"/>
      <c r="K28" s="576"/>
      <c r="L28" s="576"/>
      <c r="M28" s="576"/>
      <c r="N28" s="576"/>
      <c r="O28" s="576"/>
      <c r="P28" s="576"/>
      <c r="Q28" s="576"/>
      <c r="R28" s="576"/>
      <c r="S28" s="576"/>
      <c r="T28" s="576"/>
      <c r="U28" s="576"/>
      <c r="V28" s="576"/>
      <c r="W28" s="576"/>
      <c r="X28" s="576"/>
      <c r="Y28" s="576"/>
      <c r="Z28" s="576"/>
      <c r="AA28" s="576"/>
      <c r="AB28" s="576"/>
      <c r="AC28" s="576"/>
      <c r="AD28" s="576"/>
      <c r="AE28" s="576"/>
      <c r="AF28" s="576"/>
      <c r="AG28" s="576"/>
      <c r="AH28" s="576"/>
      <c r="AI28" s="576"/>
      <c r="AJ28" s="576"/>
      <c r="AK28" s="576"/>
      <c r="AL28" s="576"/>
      <c r="AM28" s="576"/>
      <c r="AN28" s="576"/>
      <c r="AO28" s="576"/>
      <c r="AP28" s="576"/>
      <c r="AQ28" s="576"/>
      <c r="AR28" s="576"/>
      <c r="AS28" s="576"/>
    </row>
    <row r="29" spans="1:49">
      <c r="A29" s="576" t="s">
        <v>364</v>
      </c>
      <c r="B29" s="576"/>
      <c r="C29" s="576"/>
      <c r="D29" s="576"/>
      <c r="E29" s="576"/>
      <c r="F29" s="576"/>
      <c r="G29" s="576"/>
      <c r="H29" s="576"/>
      <c r="I29" s="576"/>
      <c r="J29" s="576"/>
      <c r="K29" s="576"/>
      <c r="L29" s="576"/>
      <c r="M29" s="576"/>
      <c r="N29" s="576"/>
      <c r="O29" s="576"/>
      <c r="P29" s="576"/>
      <c r="Q29" s="576"/>
      <c r="R29" s="576"/>
      <c r="S29" s="576"/>
      <c r="T29" s="576"/>
      <c r="U29" s="576"/>
      <c r="V29" s="576"/>
      <c r="W29" s="576"/>
      <c r="X29" s="576"/>
      <c r="Y29" s="576"/>
      <c r="Z29" s="576"/>
      <c r="AA29" s="576"/>
      <c r="AB29" s="576"/>
      <c r="AC29" s="576"/>
      <c r="AD29" s="576"/>
      <c r="AE29" s="576"/>
      <c r="AF29" s="576"/>
      <c r="AG29" s="576"/>
      <c r="AH29" s="576"/>
      <c r="AI29" s="576"/>
      <c r="AJ29" s="576"/>
      <c r="AK29" s="576"/>
      <c r="AL29" s="576"/>
      <c r="AM29" s="576"/>
      <c r="AN29" s="576"/>
      <c r="AO29" s="576"/>
      <c r="AP29" s="576"/>
      <c r="AQ29" s="576"/>
      <c r="AR29" s="576"/>
      <c r="AS29" s="576"/>
    </row>
    <row r="30" spans="1:49" ht="45" customHeight="1">
      <c r="A30" s="546" t="s">
        <v>363</v>
      </c>
      <c r="B30" s="546"/>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c r="AA30" s="546"/>
      <c r="AB30" s="546"/>
      <c r="AC30" s="546"/>
      <c r="AD30" s="546"/>
      <c r="AE30" s="546"/>
      <c r="AF30" s="546"/>
      <c r="AG30" s="546"/>
      <c r="AH30" s="546"/>
      <c r="AI30" s="546"/>
      <c r="AJ30" s="546"/>
      <c r="AK30" s="546"/>
      <c r="AL30" s="546"/>
      <c r="AM30" s="546"/>
      <c r="AN30" s="546"/>
      <c r="AO30" s="546"/>
      <c r="AP30" s="546"/>
      <c r="AQ30" s="546"/>
      <c r="AR30" s="546"/>
      <c r="AS30" s="546"/>
    </row>
    <row r="31" spans="1:49" ht="30" customHeight="1">
      <c r="A31" s="546" t="s">
        <v>361</v>
      </c>
      <c r="B31" s="546"/>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c r="AA31" s="546"/>
      <c r="AB31" s="546"/>
      <c r="AC31" s="546"/>
      <c r="AD31" s="546"/>
      <c r="AE31" s="546"/>
      <c r="AF31" s="546"/>
      <c r="AG31" s="546"/>
      <c r="AH31" s="546"/>
      <c r="AI31" s="546"/>
      <c r="AJ31" s="546"/>
      <c r="AK31" s="546"/>
      <c r="AL31" s="546"/>
      <c r="AM31" s="546"/>
      <c r="AN31" s="546"/>
      <c r="AO31" s="546"/>
      <c r="AP31" s="546"/>
      <c r="AQ31" s="546"/>
      <c r="AR31" s="546"/>
      <c r="AS31" s="546"/>
    </row>
    <row r="32" spans="1:49" ht="30" customHeight="1">
      <c r="A32" s="546" t="s">
        <v>362</v>
      </c>
      <c r="B32" s="546"/>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c r="AA32" s="546"/>
      <c r="AB32" s="546"/>
      <c r="AC32" s="546"/>
      <c r="AD32" s="546"/>
      <c r="AE32" s="546"/>
      <c r="AF32" s="546"/>
      <c r="AG32" s="546"/>
      <c r="AH32" s="546"/>
      <c r="AI32" s="546"/>
      <c r="AJ32" s="546"/>
      <c r="AK32" s="546"/>
      <c r="AL32" s="546"/>
      <c r="AM32" s="546"/>
      <c r="AN32" s="546"/>
      <c r="AO32" s="546"/>
      <c r="AP32" s="546"/>
      <c r="AQ32" s="546"/>
      <c r="AR32" s="546"/>
      <c r="AS32" s="546"/>
    </row>
    <row r="33" spans="1:45" ht="30" customHeight="1">
      <c r="A33" s="546" t="s">
        <v>426</v>
      </c>
      <c r="B33" s="546"/>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c r="AA33" s="546"/>
      <c r="AB33" s="546"/>
      <c r="AC33" s="546"/>
      <c r="AD33" s="546"/>
      <c r="AE33" s="546"/>
      <c r="AF33" s="546"/>
      <c r="AG33" s="546"/>
      <c r="AH33" s="546"/>
      <c r="AI33" s="546"/>
      <c r="AJ33" s="546"/>
      <c r="AK33" s="546"/>
      <c r="AL33" s="546"/>
      <c r="AM33" s="546"/>
      <c r="AN33" s="546"/>
      <c r="AO33" s="546"/>
      <c r="AP33" s="546"/>
      <c r="AQ33" s="546"/>
      <c r="AR33" s="546"/>
      <c r="AS33" s="546"/>
    </row>
    <row r="34" spans="1:45">
      <c r="A34" s="229"/>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row>
    <row r="35" spans="1:45">
      <c r="A35" s="565" t="s">
        <v>353</v>
      </c>
      <c r="B35" s="565"/>
      <c r="C35" s="565"/>
      <c r="D35" s="565"/>
      <c r="E35" s="565"/>
      <c r="F35" s="565"/>
      <c r="G35" s="565"/>
      <c r="H35" s="565"/>
      <c r="I35" s="565"/>
      <c r="J35" s="565"/>
      <c r="K35" s="565"/>
      <c r="L35" s="565"/>
      <c r="M35" s="565"/>
      <c r="N35" s="565"/>
      <c r="O35" s="565"/>
      <c r="P35" s="565"/>
      <c r="Q35" s="565"/>
      <c r="R35" s="565"/>
      <c r="S35" s="565"/>
      <c r="T35" s="565"/>
      <c r="U35" s="565"/>
      <c r="V35" s="565"/>
      <c r="W35" s="565"/>
      <c r="X35" s="565"/>
      <c r="Y35" s="565"/>
      <c r="Z35" s="565"/>
      <c r="AA35" s="565"/>
      <c r="AB35" s="565"/>
      <c r="AC35" s="565"/>
      <c r="AD35" s="565"/>
      <c r="AE35" s="565"/>
      <c r="AF35" s="565"/>
      <c r="AG35" s="565"/>
      <c r="AH35" s="565"/>
      <c r="AI35" s="565"/>
      <c r="AJ35" s="565"/>
      <c r="AK35" s="565"/>
      <c r="AL35" s="565"/>
      <c r="AM35" s="565"/>
      <c r="AN35" s="565"/>
      <c r="AO35" s="565"/>
      <c r="AP35" s="565"/>
      <c r="AQ35" s="565"/>
      <c r="AR35" s="565"/>
      <c r="AS35" s="565"/>
    </row>
    <row r="36" spans="1:45">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row>
    <row r="37" spans="1:45" ht="45" customHeight="1">
      <c r="A37" s="546" t="s">
        <v>354</v>
      </c>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row>
    <row r="38" spans="1:45">
      <c r="A38" s="571" t="s">
        <v>496</v>
      </c>
      <c r="B38" s="573"/>
      <c r="C38" s="573"/>
      <c r="D38" s="573"/>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row>
    <row r="39" spans="1:45">
      <c r="A39" s="564" t="s">
        <v>497</v>
      </c>
      <c r="B39" s="564"/>
      <c r="C39" s="564"/>
      <c r="D39" s="564"/>
      <c r="E39" s="564"/>
      <c r="F39" s="564"/>
      <c r="G39" s="564"/>
      <c r="H39" s="564"/>
      <c r="I39" s="564"/>
      <c r="J39" s="564"/>
      <c r="K39" s="564"/>
      <c r="L39" s="564"/>
      <c r="M39" s="564"/>
      <c r="N39" s="564"/>
      <c r="O39" s="564"/>
      <c r="P39" s="564"/>
      <c r="Q39" s="564"/>
      <c r="R39" s="564"/>
      <c r="S39" s="564"/>
      <c r="T39" s="564"/>
      <c r="U39" s="564"/>
      <c r="V39" s="564"/>
      <c r="W39" s="564"/>
      <c r="X39" s="564"/>
      <c r="Y39" s="564"/>
      <c r="Z39" s="564"/>
      <c r="AA39" s="564"/>
      <c r="AB39" s="564"/>
      <c r="AC39" s="564"/>
      <c r="AD39" s="564"/>
      <c r="AE39" s="564"/>
      <c r="AF39" s="564"/>
      <c r="AG39" s="564"/>
      <c r="AH39" s="564"/>
      <c r="AI39" s="564"/>
      <c r="AJ39" s="564"/>
      <c r="AK39" s="564"/>
      <c r="AL39" s="564"/>
      <c r="AM39" s="564"/>
      <c r="AN39" s="564"/>
      <c r="AO39" s="564"/>
      <c r="AP39" s="564"/>
      <c r="AQ39" s="564"/>
      <c r="AR39" s="564"/>
      <c r="AS39" s="564"/>
    </row>
    <row r="40" spans="1:45" ht="30" customHeight="1">
      <c r="A40" s="546" t="s">
        <v>356</v>
      </c>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row>
    <row r="41" spans="1:45" ht="30" customHeight="1">
      <c r="A41" s="546" t="s">
        <v>357</v>
      </c>
      <c r="B41" s="546"/>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c r="AA41" s="546"/>
      <c r="AB41" s="546"/>
      <c r="AC41" s="546"/>
      <c r="AD41" s="546"/>
      <c r="AE41" s="546"/>
      <c r="AF41" s="546"/>
      <c r="AG41" s="546"/>
      <c r="AH41" s="546"/>
      <c r="AI41" s="546"/>
      <c r="AJ41" s="546"/>
      <c r="AK41" s="546"/>
      <c r="AL41" s="546"/>
      <c r="AM41" s="546"/>
      <c r="AN41" s="546"/>
      <c r="AO41" s="546"/>
      <c r="AP41" s="546"/>
      <c r="AQ41" s="546"/>
      <c r="AR41" s="546"/>
      <c r="AS41" s="546"/>
    </row>
    <row r="42" spans="1:45" ht="30" customHeight="1">
      <c r="A42" s="546" t="s">
        <v>358</v>
      </c>
      <c r="B42" s="546"/>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c r="AA42" s="546"/>
      <c r="AB42" s="546"/>
      <c r="AC42" s="546"/>
      <c r="AD42" s="546"/>
      <c r="AE42" s="546"/>
      <c r="AF42" s="546"/>
      <c r="AG42" s="546"/>
      <c r="AH42" s="546"/>
      <c r="AI42" s="546"/>
      <c r="AJ42" s="546"/>
      <c r="AK42" s="546"/>
      <c r="AL42" s="546"/>
      <c r="AM42" s="546"/>
      <c r="AN42" s="546"/>
      <c r="AO42" s="546"/>
      <c r="AP42" s="546"/>
      <c r="AQ42" s="546"/>
      <c r="AR42" s="546"/>
      <c r="AS42" s="546"/>
    </row>
    <row r="43" spans="1:45" ht="45" customHeight="1">
      <c r="A43" s="571" t="s">
        <v>359</v>
      </c>
      <c r="B43" s="571"/>
      <c r="C43" s="571"/>
      <c r="D43" s="571"/>
      <c r="E43" s="571"/>
      <c r="F43" s="571"/>
      <c r="G43" s="571"/>
      <c r="H43" s="571"/>
      <c r="I43" s="571"/>
      <c r="J43" s="571"/>
      <c r="K43" s="571"/>
      <c r="L43" s="571"/>
      <c r="M43" s="571"/>
      <c r="N43" s="571"/>
      <c r="O43" s="571"/>
      <c r="P43" s="571"/>
      <c r="Q43" s="571"/>
      <c r="R43" s="571"/>
      <c r="S43" s="571"/>
      <c r="T43" s="571"/>
      <c r="U43" s="571"/>
      <c r="V43" s="571"/>
      <c r="W43" s="571"/>
      <c r="X43" s="571"/>
      <c r="Y43" s="571"/>
      <c r="Z43" s="571"/>
      <c r="AA43" s="571"/>
      <c r="AB43" s="571"/>
      <c r="AC43" s="571"/>
      <c r="AD43" s="571"/>
      <c r="AE43" s="571"/>
      <c r="AF43" s="571"/>
      <c r="AG43" s="571"/>
      <c r="AH43" s="571"/>
      <c r="AI43" s="571"/>
      <c r="AJ43" s="571"/>
      <c r="AK43" s="571"/>
      <c r="AL43" s="571"/>
      <c r="AM43" s="571"/>
      <c r="AN43" s="571"/>
      <c r="AO43" s="571"/>
      <c r="AP43" s="571"/>
      <c r="AQ43" s="571"/>
      <c r="AR43" s="571"/>
      <c r="AS43" s="571"/>
    </row>
    <row r="44" spans="1:45" ht="45" customHeight="1">
      <c r="A44" s="571" t="s">
        <v>360</v>
      </c>
      <c r="B44" s="571"/>
      <c r="C44" s="571"/>
      <c r="D44" s="571"/>
      <c r="E44" s="571"/>
      <c r="F44" s="571"/>
      <c r="G44" s="571"/>
      <c r="H44" s="571"/>
      <c r="I44" s="571"/>
      <c r="J44" s="571"/>
      <c r="K44" s="571"/>
      <c r="L44" s="571"/>
      <c r="M44" s="571"/>
      <c r="N44" s="571"/>
      <c r="O44" s="571"/>
      <c r="P44" s="571"/>
      <c r="Q44" s="571"/>
      <c r="R44" s="571"/>
      <c r="S44" s="571"/>
      <c r="T44" s="571"/>
      <c r="U44" s="571"/>
      <c r="V44" s="571"/>
      <c r="W44" s="571"/>
      <c r="X44" s="571"/>
      <c r="Y44" s="571"/>
      <c r="Z44" s="571"/>
      <c r="AA44" s="571"/>
      <c r="AB44" s="571"/>
      <c r="AC44" s="571"/>
      <c r="AD44" s="571"/>
      <c r="AE44" s="571"/>
      <c r="AF44" s="571"/>
      <c r="AG44" s="571"/>
      <c r="AH44" s="571"/>
      <c r="AI44" s="571"/>
      <c r="AJ44" s="571"/>
      <c r="AK44" s="571"/>
      <c r="AL44" s="571"/>
      <c r="AM44" s="571"/>
      <c r="AN44" s="571"/>
      <c r="AO44" s="571"/>
      <c r="AP44" s="571"/>
      <c r="AQ44" s="571"/>
      <c r="AR44" s="571"/>
      <c r="AS44" s="571"/>
    </row>
    <row r="45" spans="1:45" ht="30" customHeight="1">
      <c r="A45" s="571" t="s">
        <v>373</v>
      </c>
      <c r="B45" s="571"/>
      <c r="C45" s="571"/>
      <c r="D45" s="571"/>
      <c r="E45" s="571"/>
      <c r="F45" s="571"/>
      <c r="G45" s="571"/>
      <c r="H45" s="571"/>
      <c r="I45" s="571"/>
      <c r="J45" s="571"/>
      <c r="K45" s="571"/>
      <c r="L45" s="571"/>
      <c r="M45" s="571"/>
      <c r="N45" s="571"/>
      <c r="O45" s="571"/>
      <c r="P45" s="571"/>
      <c r="Q45" s="571"/>
      <c r="R45" s="571"/>
      <c r="S45" s="571"/>
      <c r="T45" s="571"/>
      <c r="U45" s="571"/>
      <c r="V45" s="571"/>
      <c r="W45" s="571"/>
      <c r="X45" s="571"/>
      <c r="Y45" s="571"/>
      <c r="Z45" s="571"/>
      <c r="AA45" s="571"/>
      <c r="AB45" s="571"/>
      <c r="AC45" s="571"/>
      <c r="AD45" s="571"/>
      <c r="AE45" s="571"/>
      <c r="AF45" s="571"/>
      <c r="AG45" s="571"/>
      <c r="AH45" s="571"/>
      <c r="AI45" s="571"/>
      <c r="AJ45" s="571"/>
      <c r="AK45" s="571"/>
      <c r="AL45" s="571"/>
      <c r="AM45" s="571"/>
      <c r="AN45" s="571"/>
      <c r="AO45" s="571"/>
      <c r="AP45" s="571"/>
      <c r="AQ45" s="571"/>
      <c r="AR45" s="571"/>
      <c r="AS45" s="571"/>
    </row>
    <row r="46" spans="1:45" ht="30" customHeight="1">
      <c r="A46" s="571" t="s">
        <v>374</v>
      </c>
      <c r="B46" s="571"/>
      <c r="C46" s="571"/>
      <c r="D46" s="571"/>
      <c r="E46" s="571"/>
      <c r="F46" s="571"/>
      <c r="G46" s="571"/>
      <c r="H46" s="571"/>
      <c r="I46" s="571"/>
      <c r="J46" s="571"/>
      <c r="K46" s="571"/>
      <c r="L46" s="571"/>
      <c r="M46" s="571"/>
      <c r="N46" s="571"/>
      <c r="O46" s="571"/>
      <c r="P46" s="571"/>
      <c r="Q46" s="571"/>
      <c r="R46" s="571"/>
      <c r="S46" s="571"/>
      <c r="T46" s="571"/>
      <c r="U46" s="571"/>
      <c r="V46" s="571"/>
      <c r="W46" s="571"/>
      <c r="X46" s="571"/>
      <c r="Y46" s="571"/>
      <c r="Z46" s="571"/>
      <c r="AA46" s="571"/>
      <c r="AB46" s="571"/>
      <c r="AC46" s="571"/>
      <c r="AD46" s="571"/>
      <c r="AE46" s="571"/>
      <c r="AF46" s="571"/>
      <c r="AG46" s="571"/>
      <c r="AH46" s="571"/>
      <c r="AI46" s="571"/>
      <c r="AJ46" s="571"/>
      <c r="AK46" s="571"/>
      <c r="AL46" s="571"/>
      <c r="AM46" s="571"/>
      <c r="AN46" s="571"/>
      <c r="AO46" s="571"/>
      <c r="AP46" s="571"/>
      <c r="AQ46" s="571"/>
      <c r="AR46" s="571"/>
      <c r="AS46" s="571"/>
    </row>
    <row r="47" spans="1:45" ht="30" customHeight="1">
      <c r="A47" s="571" t="s">
        <v>375</v>
      </c>
      <c r="B47" s="571"/>
      <c r="C47" s="571"/>
      <c r="D47" s="571"/>
      <c r="E47" s="571"/>
      <c r="F47" s="571"/>
      <c r="G47" s="571"/>
      <c r="H47" s="571"/>
      <c r="I47" s="571"/>
      <c r="J47" s="571"/>
      <c r="K47" s="571"/>
      <c r="L47" s="571"/>
      <c r="M47" s="571"/>
      <c r="N47" s="571"/>
      <c r="O47" s="571"/>
      <c r="P47" s="571"/>
      <c r="Q47" s="571"/>
      <c r="R47" s="571"/>
      <c r="S47" s="571"/>
      <c r="T47" s="571"/>
      <c r="U47" s="571"/>
      <c r="V47" s="571"/>
      <c r="W47" s="571"/>
      <c r="X47" s="571"/>
      <c r="Y47" s="571"/>
      <c r="Z47" s="571"/>
      <c r="AA47" s="571"/>
      <c r="AB47" s="571"/>
      <c r="AC47" s="571"/>
      <c r="AD47" s="571"/>
      <c r="AE47" s="571"/>
      <c r="AF47" s="571"/>
      <c r="AG47" s="571"/>
      <c r="AH47" s="571"/>
      <c r="AI47" s="571"/>
      <c r="AJ47" s="571"/>
      <c r="AK47" s="571"/>
      <c r="AL47" s="571"/>
      <c r="AM47" s="571"/>
      <c r="AN47" s="571"/>
      <c r="AO47" s="571"/>
      <c r="AP47" s="571"/>
      <c r="AQ47" s="571"/>
      <c r="AR47" s="571"/>
      <c r="AS47" s="571"/>
    </row>
    <row r="48" spans="1:45" ht="30" customHeight="1">
      <c r="A48" s="571" t="s">
        <v>376</v>
      </c>
      <c r="B48" s="571"/>
      <c r="C48" s="571"/>
      <c r="D48" s="571"/>
      <c r="E48" s="571"/>
      <c r="F48" s="571"/>
      <c r="G48" s="571"/>
      <c r="H48" s="571"/>
      <c r="I48" s="571"/>
      <c r="J48" s="571"/>
      <c r="K48" s="571"/>
      <c r="L48" s="571"/>
      <c r="M48" s="571"/>
      <c r="N48" s="571"/>
      <c r="O48" s="571"/>
      <c r="P48" s="571"/>
      <c r="Q48" s="571"/>
      <c r="R48" s="571"/>
      <c r="S48" s="571"/>
      <c r="T48" s="571"/>
      <c r="U48" s="571"/>
      <c r="V48" s="571"/>
      <c r="W48" s="571"/>
      <c r="X48" s="571"/>
      <c r="Y48" s="571"/>
      <c r="Z48" s="571"/>
      <c r="AA48" s="571"/>
      <c r="AB48" s="571"/>
      <c r="AC48" s="571"/>
      <c r="AD48" s="571"/>
      <c r="AE48" s="571"/>
      <c r="AF48" s="571"/>
      <c r="AG48" s="571"/>
      <c r="AH48" s="571"/>
      <c r="AI48" s="571"/>
      <c r="AJ48" s="571"/>
      <c r="AK48" s="571"/>
      <c r="AL48" s="571"/>
      <c r="AM48" s="571"/>
      <c r="AN48" s="571"/>
      <c r="AO48" s="571"/>
      <c r="AP48" s="571"/>
      <c r="AQ48" s="571"/>
      <c r="AR48" s="571"/>
      <c r="AS48" s="571"/>
    </row>
    <row r="49" spans="1:48">
      <c r="A49" s="571" t="s">
        <v>377</v>
      </c>
      <c r="B49" s="571"/>
      <c r="C49" s="571"/>
      <c r="D49" s="571"/>
      <c r="E49" s="571"/>
      <c r="F49" s="571"/>
      <c r="G49" s="571"/>
      <c r="H49" s="571"/>
      <c r="I49" s="571"/>
      <c r="J49" s="571"/>
      <c r="K49" s="571"/>
      <c r="L49" s="571"/>
      <c r="M49" s="571"/>
      <c r="N49" s="571"/>
      <c r="O49" s="571"/>
      <c r="P49" s="571"/>
      <c r="Q49" s="571"/>
      <c r="R49" s="571"/>
      <c r="S49" s="571"/>
      <c r="T49" s="571"/>
      <c r="U49" s="571"/>
      <c r="V49" s="571"/>
      <c r="W49" s="571"/>
      <c r="X49" s="571"/>
      <c r="Y49" s="571"/>
      <c r="Z49" s="571"/>
      <c r="AA49" s="571"/>
      <c r="AB49" s="571"/>
      <c r="AC49" s="571"/>
      <c r="AD49" s="571"/>
      <c r="AE49" s="571"/>
      <c r="AF49" s="571"/>
      <c r="AG49" s="571"/>
      <c r="AH49" s="571"/>
      <c r="AI49" s="571"/>
      <c r="AJ49" s="571"/>
      <c r="AK49" s="571"/>
      <c r="AL49" s="571"/>
      <c r="AM49" s="571"/>
      <c r="AN49" s="571"/>
      <c r="AO49" s="571"/>
      <c r="AP49" s="571"/>
      <c r="AQ49" s="571"/>
      <c r="AR49" s="571"/>
      <c r="AS49" s="571"/>
    </row>
    <row r="50" spans="1:48" ht="30" customHeight="1">
      <c r="A50" s="571" t="s">
        <v>378</v>
      </c>
      <c r="B50" s="571"/>
      <c r="C50" s="571"/>
      <c r="D50" s="571"/>
      <c r="E50" s="571"/>
      <c r="F50" s="571"/>
      <c r="G50" s="571"/>
      <c r="H50" s="571"/>
      <c r="I50" s="571"/>
      <c r="J50" s="571"/>
      <c r="K50" s="571"/>
      <c r="L50" s="571"/>
      <c r="M50" s="571"/>
      <c r="N50" s="571"/>
      <c r="O50" s="571"/>
      <c r="P50" s="571"/>
      <c r="Q50" s="571"/>
      <c r="R50" s="571"/>
      <c r="S50" s="571"/>
      <c r="T50" s="571"/>
      <c r="U50" s="571"/>
      <c r="V50" s="571"/>
      <c r="W50" s="571"/>
      <c r="X50" s="571"/>
      <c r="Y50" s="571"/>
      <c r="Z50" s="571"/>
      <c r="AA50" s="571"/>
      <c r="AB50" s="571"/>
      <c r="AC50" s="571"/>
      <c r="AD50" s="571"/>
      <c r="AE50" s="571"/>
      <c r="AF50" s="571"/>
      <c r="AG50" s="571"/>
      <c r="AH50" s="571"/>
      <c r="AI50" s="571"/>
      <c r="AJ50" s="571"/>
      <c r="AK50" s="571"/>
      <c r="AL50" s="571"/>
      <c r="AM50" s="571"/>
      <c r="AN50" s="571"/>
      <c r="AO50" s="571"/>
      <c r="AP50" s="571"/>
      <c r="AQ50" s="571"/>
      <c r="AR50" s="571"/>
      <c r="AS50" s="571"/>
    </row>
    <row r="51" spans="1:48" ht="45" customHeight="1">
      <c r="A51" s="571" t="s">
        <v>379</v>
      </c>
      <c r="B51" s="571"/>
      <c r="C51" s="571"/>
      <c r="D51" s="571"/>
      <c r="E51" s="571"/>
      <c r="F51" s="571"/>
      <c r="G51" s="571"/>
      <c r="H51" s="571"/>
      <c r="I51" s="571"/>
      <c r="J51" s="571"/>
      <c r="K51" s="571"/>
      <c r="L51" s="571"/>
      <c r="M51" s="571"/>
      <c r="N51" s="571"/>
      <c r="O51" s="571"/>
      <c r="P51" s="571"/>
      <c r="Q51" s="571"/>
      <c r="R51" s="571"/>
      <c r="S51" s="571"/>
      <c r="T51" s="571"/>
      <c r="U51" s="571"/>
      <c r="V51" s="571"/>
      <c r="W51" s="571"/>
      <c r="X51" s="571"/>
      <c r="Y51" s="571"/>
      <c r="Z51" s="571"/>
      <c r="AA51" s="571"/>
      <c r="AB51" s="571"/>
      <c r="AC51" s="571"/>
      <c r="AD51" s="571"/>
      <c r="AE51" s="571"/>
      <c r="AF51" s="571"/>
      <c r="AG51" s="571"/>
      <c r="AH51" s="571"/>
      <c r="AI51" s="571"/>
      <c r="AJ51" s="571"/>
      <c r="AK51" s="571"/>
      <c r="AL51" s="571"/>
      <c r="AM51" s="571"/>
      <c r="AN51" s="571"/>
      <c r="AO51" s="571"/>
      <c r="AP51" s="571"/>
      <c r="AQ51" s="571"/>
      <c r="AR51" s="571"/>
      <c r="AS51" s="571"/>
    </row>
    <row r="52" spans="1:48" ht="30" customHeight="1">
      <c r="A52" s="571" t="s">
        <v>380</v>
      </c>
      <c r="B52" s="571"/>
      <c r="C52" s="571"/>
      <c r="D52" s="571"/>
      <c r="E52" s="571"/>
      <c r="F52" s="571"/>
      <c r="G52" s="571"/>
      <c r="H52" s="571"/>
      <c r="I52" s="571"/>
      <c r="J52" s="571"/>
      <c r="K52" s="571"/>
      <c r="L52" s="571"/>
      <c r="M52" s="571"/>
      <c r="N52" s="571"/>
      <c r="O52" s="571"/>
      <c r="P52" s="571"/>
      <c r="Q52" s="571"/>
      <c r="R52" s="571"/>
      <c r="S52" s="571"/>
      <c r="T52" s="571"/>
      <c r="U52" s="571"/>
      <c r="V52" s="571"/>
      <c r="W52" s="571"/>
      <c r="X52" s="571"/>
      <c r="Y52" s="571"/>
      <c r="Z52" s="571"/>
      <c r="AA52" s="571"/>
      <c r="AB52" s="571"/>
      <c r="AC52" s="571"/>
      <c r="AD52" s="571"/>
      <c r="AE52" s="571"/>
      <c r="AF52" s="571"/>
      <c r="AG52" s="571"/>
      <c r="AH52" s="571"/>
      <c r="AI52" s="571"/>
      <c r="AJ52" s="571"/>
      <c r="AK52" s="571"/>
      <c r="AL52" s="571"/>
      <c r="AM52" s="571"/>
      <c r="AN52" s="571"/>
      <c r="AO52" s="571"/>
      <c r="AP52" s="571"/>
      <c r="AQ52" s="571"/>
      <c r="AR52" s="571"/>
      <c r="AS52" s="571"/>
    </row>
    <row r="53" spans="1:48" ht="60" customHeight="1">
      <c r="A53" s="571" t="s">
        <v>381</v>
      </c>
      <c r="B53" s="571"/>
      <c r="C53" s="571"/>
      <c r="D53" s="571"/>
      <c r="E53" s="571"/>
      <c r="F53" s="571"/>
      <c r="G53" s="571"/>
      <c r="H53" s="571"/>
      <c r="I53" s="571"/>
      <c r="J53" s="571"/>
      <c r="K53" s="571"/>
      <c r="L53" s="571"/>
      <c r="M53" s="571"/>
      <c r="N53" s="571"/>
      <c r="O53" s="571"/>
      <c r="P53" s="571"/>
      <c r="Q53" s="571"/>
      <c r="R53" s="571"/>
      <c r="S53" s="571"/>
      <c r="T53" s="571"/>
      <c r="U53" s="571"/>
      <c r="V53" s="571"/>
      <c r="W53" s="571"/>
      <c r="X53" s="571"/>
      <c r="Y53" s="571"/>
      <c r="Z53" s="571"/>
      <c r="AA53" s="571"/>
      <c r="AB53" s="571"/>
      <c r="AC53" s="571"/>
      <c r="AD53" s="571"/>
      <c r="AE53" s="571"/>
      <c r="AF53" s="571"/>
      <c r="AG53" s="571"/>
      <c r="AH53" s="571"/>
      <c r="AI53" s="571"/>
      <c r="AJ53" s="571"/>
      <c r="AK53" s="571"/>
      <c r="AL53" s="571"/>
      <c r="AM53" s="571"/>
      <c r="AN53" s="571"/>
      <c r="AO53" s="571"/>
      <c r="AP53" s="571"/>
      <c r="AQ53" s="571"/>
      <c r="AR53" s="571"/>
      <c r="AS53" s="571"/>
    </row>
    <row r="54" spans="1:48" ht="30" customHeight="1">
      <c r="A54" s="571" t="s">
        <v>382</v>
      </c>
      <c r="B54" s="571"/>
      <c r="C54" s="571"/>
      <c r="D54" s="571"/>
      <c r="E54" s="571"/>
      <c r="F54" s="571"/>
      <c r="G54" s="571"/>
      <c r="H54" s="571"/>
      <c r="I54" s="571"/>
      <c r="J54" s="571"/>
      <c r="K54" s="571"/>
      <c r="L54" s="571"/>
      <c r="M54" s="571"/>
      <c r="N54" s="571"/>
      <c r="O54" s="571"/>
      <c r="P54" s="571"/>
      <c r="Q54" s="571"/>
      <c r="R54" s="571"/>
      <c r="S54" s="571"/>
      <c r="T54" s="571"/>
      <c r="U54" s="571"/>
      <c r="V54" s="571"/>
      <c r="W54" s="571"/>
      <c r="X54" s="571"/>
      <c r="Y54" s="571"/>
      <c r="Z54" s="571"/>
      <c r="AA54" s="571"/>
      <c r="AB54" s="571"/>
      <c r="AC54" s="571"/>
      <c r="AD54" s="571"/>
      <c r="AE54" s="571"/>
      <c r="AF54" s="571"/>
      <c r="AG54" s="571"/>
      <c r="AH54" s="571"/>
      <c r="AI54" s="571"/>
      <c r="AJ54" s="571"/>
      <c r="AK54" s="571"/>
      <c r="AL54" s="571"/>
      <c r="AM54" s="571"/>
      <c r="AN54" s="571"/>
      <c r="AO54" s="571"/>
      <c r="AP54" s="571"/>
      <c r="AQ54" s="571"/>
      <c r="AR54" s="571"/>
      <c r="AS54" s="571"/>
    </row>
    <row r="55" spans="1:48" ht="30" customHeight="1">
      <c r="A55" s="571" t="s">
        <v>383</v>
      </c>
      <c r="B55" s="571"/>
      <c r="C55" s="571"/>
      <c r="D55" s="571"/>
      <c r="E55" s="571"/>
      <c r="F55" s="571"/>
      <c r="G55" s="571"/>
      <c r="H55" s="571"/>
      <c r="I55" s="571"/>
      <c r="J55" s="571"/>
      <c r="K55" s="571"/>
      <c r="L55" s="571"/>
      <c r="M55" s="571"/>
      <c r="N55" s="571"/>
      <c r="O55" s="571"/>
      <c r="P55" s="571"/>
      <c r="Q55" s="571"/>
      <c r="R55" s="571"/>
      <c r="S55" s="571"/>
      <c r="T55" s="571"/>
      <c r="U55" s="571"/>
      <c r="V55" s="571"/>
      <c r="W55" s="571"/>
      <c r="X55" s="571"/>
      <c r="Y55" s="571"/>
      <c r="Z55" s="571"/>
      <c r="AA55" s="571"/>
      <c r="AB55" s="571"/>
      <c r="AC55" s="571"/>
      <c r="AD55" s="571"/>
      <c r="AE55" s="571"/>
      <c r="AF55" s="571"/>
      <c r="AG55" s="571"/>
      <c r="AH55" s="571"/>
      <c r="AI55" s="571"/>
      <c r="AJ55" s="571"/>
      <c r="AK55" s="571"/>
      <c r="AL55" s="571"/>
      <c r="AM55" s="571"/>
      <c r="AN55" s="571"/>
      <c r="AO55" s="571"/>
      <c r="AP55" s="571"/>
      <c r="AQ55" s="571"/>
      <c r="AR55" s="571"/>
      <c r="AS55" s="571"/>
    </row>
    <row r="56" spans="1:48" ht="60" customHeight="1">
      <c r="A56" s="571" t="s">
        <v>384</v>
      </c>
      <c r="B56" s="571"/>
      <c r="C56" s="571"/>
      <c r="D56" s="571"/>
      <c r="E56" s="571"/>
      <c r="F56" s="571"/>
      <c r="G56" s="571"/>
      <c r="H56" s="571"/>
      <c r="I56" s="571"/>
      <c r="J56" s="571"/>
      <c r="K56" s="571"/>
      <c r="L56" s="571"/>
      <c r="M56" s="571"/>
      <c r="N56" s="571"/>
      <c r="O56" s="571"/>
      <c r="P56" s="571"/>
      <c r="Q56" s="571"/>
      <c r="R56" s="571"/>
      <c r="S56" s="571"/>
      <c r="T56" s="571"/>
      <c r="U56" s="571"/>
      <c r="V56" s="571"/>
      <c r="W56" s="571"/>
      <c r="X56" s="571"/>
      <c r="Y56" s="571"/>
      <c r="Z56" s="571"/>
      <c r="AA56" s="571"/>
      <c r="AB56" s="571"/>
      <c r="AC56" s="571"/>
      <c r="AD56" s="571"/>
      <c r="AE56" s="571"/>
      <c r="AF56" s="571"/>
      <c r="AG56" s="571"/>
      <c r="AH56" s="571"/>
      <c r="AI56" s="571"/>
      <c r="AJ56" s="571"/>
      <c r="AK56" s="571"/>
      <c r="AL56" s="571"/>
      <c r="AM56" s="571"/>
      <c r="AN56" s="571"/>
      <c r="AO56" s="571"/>
      <c r="AP56" s="571"/>
      <c r="AQ56" s="571"/>
      <c r="AR56" s="571"/>
      <c r="AS56" s="571"/>
    </row>
    <row r="57" spans="1:48" ht="45" customHeight="1">
      <c r="A57" s="571" t="s">
        <v>434</v>
      </c>
      <c r="B57" s="571"/>
      <c r="C57" s="571"/>
      <c r="D57" s="571"/>
      <c r="E57" s="571"/>
      <c r="F57" s="571"/>
      <c r="G57" s="571"/>
      <c r="H57" s="571"/>
      <c r="I57" s="571"/>
      <c r="J57" s="571"/>
      <c r="K57" s="571"/>
      <c r="L57" s="571"/>
      <c r="M57" s="571"/>
      <c r="N57" s="571"/>
      <c r="O57" s="571"/>
      <c r="P57" s="571"/>
      <c r="Q57" s="571"/>
      <c r="R57" s="571"/>
      <c r="S57" s="571"/>
      <c r="T57" s="571"/>
      <c r="U57" s="571"/>
      <c r="V57" s="571"/>
      <c r="W57" s="571"/>
      <c r="X57" s="571"/>
      <c r="Y57" s="571"/>
      <c r="Z57" s="571"/>
      <c r="AA57" s="571"/>
      <c r="AB57" s="571"/>
      <c r="AC57" s="571"/>
      <c r="AD57" s="571"/>
      <c r="AE57" s="571"/>
      <c r="AF57" s="571"/>
      <c r="AG57" s="571"/>
      <c r="AH57" s="571"/>
      <c r="AI57" s="571"/>
      <c r="AJ57" s="571"/>
      <c r="AK57" s="571"/>
      <c r="AL57" s="571"/>
      <c r="AM57" s="571"/>
      <c r="AN57" s="571"/>
      <c r="AO57" s="571"/>
      <c r="AP57" s="571"/>
      <c r="AQ57" s="571"/>
      <c r="AR57" s="571"/>
      <c r="AS57" s="571"/>
    </row>
    <row r="58" spans="1:48" ht="30" customHeight="1">
      <c r="A58" s="571" t="s">
        <v>435</v>
      </c>
      <c r="B58" s="571"/>
      <c r="C58" s="571"/>
      <c r="D58" s="571"/>
      <c r="E58" s="571"/>
      <c r="F58" s="571"/>
      <c r="G58" s="571"/>
      <c r="H58" s="571"/>
      <c r="I58" s="571"/>
      <c r="J58" s="571"/>
      <c r="K58" s="571"/>
      <c r="L58" s="571"/>
      <c r="M58" s="571"/>
      <c r="N58" s="571"/>
      <c r="O58" s="571"/>
      <c r="P58" s="571"/>
      <c r="Q58" s="571"/>
      <c r="R58" s="571"/>
      <c r="S58" s="571"/>
      <c r="T58" s="571"/>
      <c r="U58" s="571"/>
      <c r="V58" s="571"/>
      <c r="W58" s="571"/>
      <c r="X58" s="571"/>
      <c r="Y58" s="571"/>
      <c r="Z58" s="571"/>
      <c r="AA58" s="571"/>
      <c r="AB58" s="571"/>
      <c r="AC58" s="571"/>
      <c r="AD58" s="571"/>
      <c r="AE58" s="571"/>
      <c r="AF58" s="571"/>
      <c r="AG58" s="571"/>
      <c r="AH58" s="571"/>
      <c r="AI58" s="571"/>
      <c r="AJ58" s="571"/>
      <c r="AK58" s="571"/>
      <c r="AL58" s="571"/>
      <c r="AM58" s="571"/>
      <c r="AN58" s="571"/>
      <c r="AO58" s="571"/>
      <c r="AP58" s="571"/>
      <c r="AQ58" s="571"/>
      <c r="AR58" s="571"/>
      <c r="AS58" s="571"/>
    </row>
    <row r="59" spans="1:48" ht="45" customHeight="1">
      <c r="A59" s="571" t="s">
        <v>385</v>
      </c>
      <c r="B59" s="571"/>
      <c r="C59" s="571"/>
      <c r="D59" s="571"/>
      <c r="E59" s="571"/>
      <c r="F59" s="571"/>
      <c r="G59" s="571"/>
      <c r="H59" s="571"/>
      <c r="I59" s="571"/>
      <c r="J59" s="571"/>
      <c r="K59" s="571"/>
      <c r="L59" s="571"/>
      <c r="M59" s="571"/>
      <c r="N59" s="571"/>
      <c r="O59" s="571"/>
      <c r="P59" s="571"/>
      <c r="Q59" s="571"/>
      <c r="R59" s="571"/>
      <c r="S59" s="571"/>
      <c r="T59" s="571"/>
      <c r="U59" s="571"/>
      <c r="V59" s="571"/>
      <c r="W59" s="571"/>
      <c r="X59" s="571"/>
      <c r="Y59" s="571"/>
      <c r="Z59" s="571"/>
      <c r="AA59" s="571"/>
      <c r="AB59" s="571"/>
      <c r="AC59" s="571"/>
      <c r="AD59" s="571"/>
      <c r="AE59" s="571"/>
      <c r="AF59" s="571"/>
      <c r="AG59" s="571"/>
      <c r="AH59" s="571"/>
      <c r="AI59" s="571"/>
      <c r="AJ59" s="571"/>
      <c r="AK59" s="571"/>
      <c r="AL59" s="571"/>
      <c r="AM59" s="571"/>
      <c r="AN59" s="571"/>
      <c r="AO59" s="571"/>
      <c r="AP59" s="571"/>
      <c r="AQ59" s="571"/>
      <c r="AR59" s="571"/>
      <c r="AS59" s="571"/>
    </row>
    <row r="60" spans="1:48">
      <c r="A60" s="228"/>
      <c r="B60" s="228"/>
      <c r="C60" s="228"/>
      <c r="D60" s="228"/>
      <c r="E60" s="228"/>
      <c r="F60" s="228"/>
      <c r="G60" s="228"/>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row>
    <row r="61" spans="1:48">
      <c r="A61" s="574" t="s">
        <v>386</v>
      </c>
      <c r="B61" s="574"/>
      <c r="C61" s="574"/>
      <c r="D61" s="574"/>
      <c r="E61" s="574"/>
      <c r="F61" s="574"/>
      <c r="G61" s="574"/>
      <c r="H61" s="574"/>
      <c r="I61" s="574"/>
      <c r="J61" s="574"/>
      <c r="K61" s="574"/>
      <c r="L61" s="574"/>
      <c r="M61" s="574"/>
      <c r="N61" s="574"/>
      <c r="O61" s="574"/>
      <c r="P61" s="574"/>
      <c r="Q61" s="574"/>
      <c r="R61" s="574"/>
      <c r="S61" s="574"/>
      <c r="T61" s="574"/>
      <c r="U61" s="574"/>
      <c r="V61" s="574"/>
      <c r="W61" s="574"/>
      <c r="X61" s="574"/>
      <c r="Y61" s="574"/>
      <c r="Z61" s="574"/>
      <c r="AA61" s="574"/>
      <c r="AB61" s="574"/>
      <c r="AC61" s="574"/>
      <c r="AD61" s="574"/>
      <c r="AE61" s="574"/>
      <c r="AF61" s="574"/>
      <c r="AG61" s="574"/>
      <c r="AH61" s="574"/>
      <c r="AI61" s="574"/>
      <c r="AJ61" s="574"/>
      <c r="AK61" s="574"/>
      <c r="AL61" s="574"/>
      <c r="AM61" s="574"/>
      <c r="AN61" s="574"/>
      <c r="AO61" s="574"/>
      <c r="AP61" s="574"/>
      <c r="AQ61" s="574"/>
      <c r="AR61" s="574"/>
      <c r="AS61" s="574"/>
    </row>
    <row r="62" spans="1:48" ht="45" customHeight="1">
      <c r="A62" s="571" t="s">
        <v>387</v>
      </c>
      <c r="B62" s="571"/>
      <c r="C62" s="571"/>
      <c r="D62" s="571"/>
      <c r="E62" s="571"/>
      <c r="F62" s="571"/>
      <c r="G62" s="571"/>
      <c r="H62" s="571"/>
      <c r="I62" s="571"/>
      <c r="J62" s="571"/>
      <c r="K62" s="571"/>
      <c r="L62" s="571"/>
      <c r="M62" s="571"/>
      <c r="N62" s="571"/>
      <c r="O62" s="571"/>
      <c r="P62" s="571"/>
      <c r="Q62" s="571"/>
      <c r="R62" s="571"/>
      <c r="S62" s="571"/>
      <c r="T62" s="571"/>
      <c r="U62" s="571"/>
      <c r="V62" s="571"/>
      <c r="W62" s="571"/>
      <c r="X62" s="571"/>
      <c r="Y62" s="571"/>
      <c r="Z62" s="571"/>
      <c r="AA62" s="571"/>
      <c r="AB62" s="571"/>
      <c r="AC62" s="571"/>
      <c r="AD62" s="571"/>
      <c r="AE62" s="571"/>
      <c r="AF62" s="571"/>
      <c r="AG62" s="571"/>
      <c r="AH62" s="571"/>
      <c r="AI62" s="571"/>
      <c r="AJ62" s="571"/>
      <c r="AK62" s="571"/>
      <c r="AL62" s="571"/>
      <c r="AM62" s="571"/>
      <c r="AN62" s="571"/>
      <c r="AO62" s="571"/>
      <c r="AP62" s="571"/>
      <c r="AQ62" s="571"/>
      <c r="AR62" s="571"/>
      <c r="AS62" s="571"/>
    </row>
    <row r="63" spans="1:48" ht="30" customHeight="1">
      <c r="A63" s="571" t="str">
        <f>CONCATENATE("4.2. Арендатор, в течение 3 (Трех) рабочих дней с момента подписания Договора, оплачивает Арендодателю авансом арендную плату за ",AU63," суток аренды")</f>
        <v>4.2. Арендатор, в течение 3 (Трех) рабочих дней с момента подписания Договора, оплачивает Арендодателю авансом арендную плату за 30 суток аренды</v>
      </c>
      <c r="B63" s="571"/>
      <c r="C63" s="571"/>
      <c r="D63" s="571"/>
      <c r="E63" s="571"/>
      <c r="F63" s="571"/>
      <c r="G63" s="571"/>
      <c r="H63" s="571"/>
      <c r="I63" s="571"/>
      <c r="J63" s="571"/>
      <c r="K63" s="571"/>
      <c r="L63" s="571"/>
      <c r="M63" s="571"/>
      <c r="N63" s="571"/>
      <c r="O63" s="571"/>
      <c r="P63" s="571"/>
      <c r="Q63" s="571"/>
      <c r="R63" s="571"/>
      <c r="S63" s="571"/>
      <c r="T63" s="571"/>
      <c r="U63" s="571"/>
      <c r="V63" s="571"/>
      <c r="W63" s="571"/>
      <c r="X63" s="571"/>
      <c r="Y63" s="571"/>
      <c r="Z63" s="571"/>
      <c r="AA63" s="571"/>
      <c r="AB63" s="571"/>
      <c r="AC63" s="571"/>
      <c r="AD63" s="571"/>
      <c r="AE63" s="571"/>
      <c r="AF63" s="571"/>
      <c r="AG63" s="571"/>
      <c r="AH63" s="571"/>
      <c r="AI63" s="571"/>
      <c r="AJ63" s="571"/>
      <c r="AK63" s="571"/>
      <c r="AL63" s="571"/>
      <c r="AM63" s="571"/>
      <c r="AN63" s="571"/>
      <c r="AO63" s="571"/>
      <c r="AP63" s="571"/>
      <c r="AQ63" s="571"/>
      <c r="AR63" s="571"/>
      <c r="AS63" s="571"/>
      <c r="AU63" s="241">
        <f>'Вышки туры'!G2</f>
        <v>30</v>
      </c>
      <c r="AV63" s="207" t="s">
        <v>459</v>
      </c>
    </row>
    <row r="64" spans="1:48" ht="30" customHeight="1">
      <c r="A64" s="546" t="s">
        <v>388</v>
      </c>
      <c r="B64" s="546"/>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c r="AA64" s="546"/>
      <c r="AB64" s="546"/>
      <c r="AC64" s="546"/>
      <c r="AD64" s="546"/>
      <c r="AE64" s="546"/>
      <c r="AF64" s="546"/>
      <c r="AG64" s="546"/>
      <c r="AH64" s="546"/>
      <c r="AI64" s="546"/>
      <c r="AJ64" s="546"/>
      <c r="AK64" s="546"/>
      <c r="AL64" s="546"/>
      <c r="AM64" s="546"/>
      <c r="AN64" s="546"/>
      <c r="AO64" s="546"/>
      <c r="AP64" s="546"/>
      <c r="AQ64" s="546"/>
      <c r="AR64" s="546"/>
      <c r="AS64" s="546"/>
    </row>
    <row r="65" spans="1:45" ht="45" customHeight="1">
      <c r="A65" s="546" t="s">
        <v>389</v>
      </c>
      <c r="B65" s="546"/>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c r="AA65" s="546"/>
      <c r="AB65" s="546"/>
      <c r="AC65" s="546"/>
      <c r="AD65" s="546"/>
      <c r="AE65" s="546"/>
      <c r="AF65" s="546"/>
      <c r="AG65" s="546"/>
      <c r="AH65" s="546"/>
      <c r="AI65" s="546"/>
      <c r="AJ65" s="546"/>
      <c r="AK65" s="546"/>
      <c r="AL65" s="546"/>
      <c r="AM65" s="546"/>
      <c r="AN65" s="546"/>
      <c r="AO65" s="546"/>
      <c r="AP65" s="546"/>
      <c r="AQ65" s="546"/>
      <c r="AR65" s="546"/>
      <c r="AS65" s="546"/>
    </row>
    <row r="66" spans="1:45" ht="45" customHeight="1">
      <c r="A66" s="546" t="s">
        <v>390</v>
      </c>
      <c r="B66" s="546"/>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c r="AA66" s="546"/>
      <c r="AB66" s="546"/>
      <c r="AC66" s="546"/>
      <c r="AD66" s="546"/>
      <c r="AE66" s="546"/>
      <c r="AF66" s="546"/>
      <c r="AG66" s="546"/>
      <c r="AH66" s="546"/>
      <c r="AI66" s="546"/>
      <c r="AJ66" s="546"/>
      <c r="AK66" s="546"/>
      <c r="AL66" s="546"/>
      <c r="AM66" s="546"/>
      <c r="AN66" s="546"/>
      <c r="AO66" s="546"/>
      <c r="AP66" s="546"/>
      <c r="AQ66" s="546"/>
      <c r="AR66" s="546"/>
      <c r="AS66" s="546"/>
    </row>
    <row r="67" spans="1:45">
      <c r="A67" s="546" t="s">
        <v>391</v>
      </c>
      <c r="B67" s="546"/>
      <c r="C67" s="546"/>
      <c r="D67" s="546"/>
      <c r="E67" s="546"/>
      <c r="F67" s="546"/>
      <c r="G67" s="546"/>
      <c r="H67" s="546"/>
      <c r="I67" s="546"/>
      <c r="J67" s="546"/>
      <c r="K67" s="546"/>
      <c r="L67" s="546"/>
      <c r="M67" s="546"/>
      <c r="N67" s="546"/>
      <c r="O67" s="546"/>
      <c r="P67" s="546"/>
      <c r="Q67" s="546"/>
      <c r="R67" s="546"/>
      <c r="S67" s="546"/>
      <c r="T67" s="546"/>
      <c r="U67" s="546"/>
      <c r="V67" s="546"/>
      <c r="W67" s="546"/>
      <c r="X67" s="546"/>
      <c r="Y67" s="546"/>
      <c r="Z67" s="546"/>
      <c r="AA67" s="546"/>
      <c r="AB67" s="546"/>
      <c r="AC67" s="546"/>
      <c r="AD67" s="546"/>
      <c r="AE67" s="546"/>
      <c r="AF67" s="546"/>
      <c r="AG67" s="546"/>
      <c r="AH67" s="546"/>
      <c r="AI67" s="546"/>
      <c r="AJ67" s="546"/>
      <c r="AK67" s="546"/>
      <c r="AL67" s="546"/>
      <c r="AM67" s="546"/>
      <c r="AN67" s="546"/>
      <c r="AO67" s="546"/>
      <c r="AP67" s="546"/>
      <c r="AQ67" s="546"/>
      <c r="AR67" s="546"/>
      <c r="AS67" s="546"/>
    </row>
    <row r="68" spans="1:45">
      <c r="A68" s="577" t="s">
        <v>392</v>
      </c>
      <c r="B68" s="577"/>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577"/>
      <c r="AK68" s="577"/>
      <c r="AL68" s="577"/>
      <c r="AM68" s="577"/>
      <c r="AN68" s="577"/>
      <c r="AO68" s="577"/>
      <c r="AP68" s="577"/>
      <c r="AQ68" s="577"/>
      <c r="AR68" s="577"/>
      <c r="AS68" s="577"/>
    </row>
    <row r="69" spans="1:45">
      <c r="A69" s="546" t="s">
        <v>393</v>
      </c>
      <c r="B69" s="546"/>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c r="AA69" s="546"/>
      <c r="AB69" s="546"/>
      <c r="AC69" s="546"/>
      <c r="AD69" s="546"/>
      <c r="AE69" s="546"/>
      <c r="AF69" s="546"/>
      <c r="AG69" s="546"/>
      <c r="AH69" s="546"/>
      <c r="AI69" s="546"/>
      <c r="AJ69" s="546"/>
      <c r="AK69" s="546"/>
      <c r="AL69" s="546"/>
      <c r="AM69" s="546"/>
      <c r="AN69" s="546"/>
      <c r="AO69" s="546"/>
      <c r="AP69" s="546"/>
      <c r="AQ69" s="546"/>
      <c r="AR69" s="546"/>
      <c r="AS69" s="546"/>
    </row>
    <row r="70" spans="1:45" ht="45" customHeight="1">
      <c r="A70" s="546" t="s">
        <v>394</v>
      </c>
      <c r="B70" s="546"/>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c r="AA70" s="546"/>
      <c r="AB70" s="546"/>
      <c r="AC70" s="546"/>
      <c r="AD70" s="546"/>
      <c r="AE70" s="546"/>
      <c r="AF70" s="546"/>
      <c r="AG70" s="546"/>
      <c r="AH70" s="546"/>
      <c r="AI70" s="546"/>
      <c r="AJ70" s="546"/>
      <c r="AK70" s="546"/>
      <c r="AL70" s="546"/>
      <c r="AM70" s="546"/>
      <c r="AN70" s="546"/>
      <c r="AO70" s="546"/>
      <c r="AP70" s="546"/>
      <c r="AQ70" s="546"/>
      <c r="AR70" s="546"/>
      <c r="AS70" s="546"/>
    </row>
    <row r="71" spans="1:45" ht="30" customHeight="1">
      <c r="A71" s="546" t="s">
        <v>395</v>
      </c>
      <c r="B71" s="546"/>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c r="AA71" s="546"/>
      <c r="AB71" s="546"/>
      <c r="AC71" s="546"/>
      <c r="AD71" s="546"/>
      <c r="AE71" s="546"/>
      <c r="AF71" s="546"/>
      <c r="AG71" s="546"/>
      <c r="AH71" s="546"/>
      <c r="AI71" s="546"/>
      <c r="AJ71" s="546"/>
      <c r="AK71" s="546"/>
      <c r="AL71" s="546"/>
      <c r="AM71" s="546"/>
      <c r="AN71" s="546"/>
      <c r="AO71" s="546"/>
      <c r="AP71" s="546"/>
      <c r="AQ71" s="546"/>
      <c r="AR71" s="546"/>
      <c r="AS71" s="546"/>
    </row>
    <row r="72" spans="1:45" ht="60" customHeight="1">
      <c r="A72" s="546" t="s">
        <v>396</v>
      </c>
      <c r="B72" s="546"/>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c r="AA72" s="546"/>
      <c r="AB72" s="546"/>
      <c r="AC72" s="546"/>
      <c r="AD72" s="546"/>
      <c r="AE72" s="546"/>
      <c r="AF72" s="546"/>
      <c r="AG72" s="546"/>
      <c r="AH72" s="546"/>
      <c r="AI72" s="546"/>
      <c r="AJ72" s="546"/>
      <c r="AK72" s="546"/>
      <c r="AL72" s="546"/>
      <c r="AM72" s="546"/>
      <c r="AN72" s="546"/>
      <c r="AO72" s="546"/>
      <c r="AP72" s="546"/>
      <c r="AQ72" s="546"/>
      <c r="AR72" s="546"/>
      <c r="AS72" s="546"/>
    </row>
    <row r="73" spans="1:45" ht="60" customHeight="1">
      <c r="A73" s="546" t="s">
        <v>542</v>
      </c>
      <c r="B73" s="546"/>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c r="AA73" s="546"/>
      <c r="AB73" s="546"/>
      <c r="AC73" s="546"/>
      <c r="AD73" s="546"/>
      <c r="AE73" s="546"/>
      <c r="AF73" s="546"/>
      <c r="AG73" s="546"/>
      <c r="AH73" s="546"/>
      <c r="AI73" s="546"/>
      <c r="AJ73" s="546"/>
      <c r="AK73" s="546"/>
      <c r="AL73" s="546"/>
      <c r="AM73" s="546"/>
      <c r="AN73" s="546"/>
      <c r="AO73" s="546"/>
      <c r="AP73" s="546"/>
      <c r="AQ73" s="546"/>
      <c r="AR73" s="546"/>
      <c r="AS73" s="546"/>
    </row>
    <row r="74" spans="1:45">
      <c r="A74" s="449"/>
      <c r="B74" s="449"/>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c r="AC74" s="449"/>
      <c r="AD74" s="449"/>
      <c r="AE74" s="449"/>
      <c r="AF74" s="449"/>
      <c r="AG74" s="449"/>
      <c r="AH74" s="449"/>
      <c r="AI74" s="449"/>
      <c r="AJ74" s="449"/>
      <c r="AK74" s="449"/>
      <c r="AL74" s="449"/>
      <c r="AM74" s="449"/>
      <c r="AN74" s="449"/>
      <c r="AO74" s="449"/>
      <c r="AP74" s="449"/>
      <c r="AQ74" s="449"/>
      <c r="AR74" s="449"/>
      <c r="AS74" s="449"/>
    </row>
    <row r="75" spans="1:45">
      <c r="A75" s="570" t="s">
        <v>397</v>
      </c>
      <c r="B75" s="570"/>
      <c r="C75" s="570"/>
      <c r="D75" s="570"/>
      <c r="E75" s="570"/>
      <c r="F75" s="570"/>
      <c r="G75" s="570"/>
      <c r="H75" s="570"/>
      <c r="I75" s="570"/>
      <c r="J75" s="570"/>
      <c r="K75" s="570"/>
      <c r="L75" s="570"/>
      <c r="M75" s="570"/>
      <c r="N75" s="570"/>
      <c r="O75" s="570"/>
      <c r="P75" s="570"/>
      <c r="Q75" s="570"/>
      <c r="R75" s="570"/>
      <c r="S75" s="570"/>
      <c r="T75" s="570"/>
      <c r="U75" s="570"/>
      <c r="V75" s="570"/>
      <c r="W75" s="570"/>
      <c r="X75" s="570"/>
      <c r="Y75" s="570"/>
      <c r="Z75" s="570"/>
      <c r="AA75" s="570"/>
      <c r="AB75" s="570"/>
      <c r="AC75" s="570"/>
      <c r="AD75" s="570"/>
      <c r="AE75" s="570"/>
      <c r="AF75" s="570"/>
      <c r="AG75" s="570"/>
      <c r="AH75" s="570"/>
      <c r="AI75" s="570"/>
      <c r="AJ75" s="570"/>
      <c r="AK75" s="570"/>
      <c r="AL75" s="570"/>
      <c r="AM75" s="570"/>
      <c r="AN75" s="570"/>
      <c r="AO75" s="570"/>
      <c r="AP75" s="570"/>
      <c r="AQ75" s="570"/>
      <c r="AR75" s="570"/>
      <c r="AS75" s="570"/>
    </row>
    <row r="76" spans="1:45" ht="105" customHeight="1">
      <c r="A76" s="546" t="s">
        <v>569</v>
      </c>
      <c r="B76" s="546"/>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c r="AA76" s="546"/>
      <c r="AB76" s="546"/>
      <c r="AC76" s="546"/>
      <c r="AD76" s="546"/>
      <c r="AE76" s="546"/>
      <c r="AF76" s="546"/>
      <c r="AG76" s="546"/>
      <c r="AH76" s="546"/>
      <c r="AI76" s="546"/>
      <c r="AJ76" s="546"/>
      <c r="AK76" s="546"/>
      <c r="AL76" s="546"/>
      <c r="AM76" s="546"/>
      <c r="AN76" s="546"/>
      <c r="AO76" s="546"/>
      <c r="AP76" s="546"/>
      <c r="AQ76" s="546"/>
      <c r="AR76" s="546"/>
      <c r="AS76" s="546"/>
    </row>
    <row r="77" spans="1:45" ht="75" customHeight="1">
      <c r="A77" s="546" t="s">
        <v>398</v>
      </c>
      <c r="B77" s="546"/>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c r="AA77" s="546"/>
      <c r="AB77" s="546"/>
      <c r="AC77" s="546"/>
      <c r="AD77" s="546"/>
      <c r="AE77" s="546"/>
      <c r="AF77" s="546"/>
      <c r="AG77" s="546"/>
      <c r="AH77" s="546"/>
      <c r="AI77" s="546"/>
      <c r="AJ77" s="546"/>
      <c r="AK77" s="546"/>
      <c r="AL77" s="546"/>
      <c r="AM77" s="546"/>
      <c r="AN77" s="546"/>
      <c r="AO77" s="546"/>
      <c r="AP77" s="546"/>
      <c r="AQ77" s="546"/>
      <c r="AR77" s="546"/>
      <c r="AS77" s="546"/>
    </row>
    <row r="78" spans="1:45">
      <c r="A78" s="543"/>
      <c r="B78" s="543"/>
      <c r="C78" s="543"/>
      <c r="D78" s="543"/>
      <c r="E78" s="543"/>
      <c r="F78" s="543"/>
      <c r="G78" s="543"/>
      <c r="H78" s="543"/>
      <c r="I78" s="543"/>
      <c r="J78" s="543"/>
      <c r="K78" s="543"/>
      <c r="L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43"/>
      <c r="AQ78" s="543"/>
      <c r="AR78" s="543"/>
      <c r="AS78" s="543"/>
    </row>
    <row r="79" spans="1:45">
      <c r="A79" s="570" t="s">
        <v>570</v>
      </c>
      <c r="B79" s="570"/>
      <c r="C79" s="570"/>
      <c r="D79" s="570"/>
      <c r="E79" s="570"/>
      <c r="F79" s="570"/>
      <c r="G79" s="570"/>
      <c r="H79" s="570"/>
      <c r="I79" s="570"/>
      <c r="J79" s="570"/>
      <c r="K79" s="570"/>
      <c r="L79" s="570"/>
      <c r="M79" s="570"/>
      <c r="N79" s="570"/>
      <c r="O79" s="570"/>
      <c r="P79" s="570"/>
      <c r="Q79" s="570"/>
      <c r="R79" s="570"/>
      <c r="S79" s="570"/>
      <c r="T79" s="570"/>
      <c r="U79" s="570"/>
      <c r="V79" s="570"/>
      <c r="W79" s="570"/>
      <c r="X79" s="570"/>
      <c r="Y79" s="570"/>
      <c r="Z79" s="570"/>
      <c r="AA79" s="570"/>
      <c r="AB79" s="570"/>
      <c r="AC79" s="570"/>
      <c r="AD79" s="570"/>
      <c r="AE79" s="570"/>
      <c r="AF79" s="570"/>
      <c r="AG79" s="570"/>
      <c r="AH79" s="570"/>
      <c r="AI79" s="570"/>
      <c r="AJ79" s="570"/>
      <c r="AK79" s="570"/>
      <c r="AL79" s="570"/>
      <c r="AM79" s="570"/>
      <c r="AN79" s="570"/>
      <c r="AO79" s="570"/>
      <c r="AP79" s="570"/>
      <c r="AQ79" s="570"/>
      <c r="AR79" s="570"/>
      <c r="AS79" s="570"/>
    </row>
    <row r="80" spans="1:45" ht="30" customHeight="1">
      <c r="A80" s="546" t="s">
        <v>571</v>
      </c>
      <c r="B80" s="546"/>
      <c r="C80" s="546"/>
      <c r="D80" s="546"/>
      <c r="E80" s="546"/>
      <c r="F80" s="546"/>
      <c r="G80" s="546"/>
      <c r="H80" s="546"/>
      <c r="I80" s="546"/>
      <c r="J80" s="546"/>
      <c r="K80" s="546"/>
      <c r="L80" s="546"/>
      <c r="M80" s="546"/>
      <c r="N80" s="546"/>
      <c r="O80" s="546"/>
      <c r="P80" s="546"/>
      <c r="Q80" s="546"/>
      <c r="R80" s="546"/>
      <c r="S80" s="546"/>
      <c r="T80" s="546"/>
      <c r="U80" s="546"/>
      <c r="V80" s="546"/>
      <c r="W80" s="546"/>
      <c r="X80" s="546"/>
      <c r="Y80" s="546"/>
      <c r="Z80" s="546"/>
      <c r="AA80" s="546"/>
      <c r="AB80" s="546"/>
      <c r="AC80" s="546"/>
      <c r="AD80" s="546"/>
      <c r="AE80" s="546"/>
      <c r="AF80" s="546"/>
      <c r="AG80" s="546"/>
      <c r="AH80" s="546"/>
      <c r="AI80" s="546"/>
      <c r="AJ80" s="546"/>
      <c r="AK80" s="546"/>
      <c r="AL80" s="546"/>
      <c r="AM80" s="546"/>
      <c r="AN80" s="546"/>
      <c r="AO80" s="546"/>
      <c r="AP80" s="546"/>
      <c r="AQ80" s="546"/>
      <c r="AR80" s="546"/>
      <c r="AS80" s="546"/>
    </row>
    <row r="81" spans="1:47" ht="45" customHeight="1">
      <c r="A81" s="546" t="s">
        <v>572</v>
      </c>
      <c r="B81" s="546"/>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c r="AA81" s="546"/>
      <c r="AB81" s="546"/>
      <c r="AC81" s="546"/>
      <c r="AD81" s="546"/>
      <c r="AE81" s="546"/>
      <c r="AF81" s="546"/>
      <c r="AG81" s="546"/>
      <c r="AH81" s="546"/>
      <c r="AI81" s="546"/>
      <c r="AJ81" s="546"/>
      <c r="AK81" s="546"/>
      <c r="AL81" s="546"/>
      <c r="AM81" s="546"/>
      <c r="AN81" s="546"/>
      <c r="AO81" s="546"/>
      <c r="AP81" s="546"/>
      <c r="AQ81" s="546"/>
      <c r="AR81" s="546"/>
      <c r="AS81" s="546"/>
    </row>
    <row r="82" spans="1:47" ht="60" customHeight="1">
      <c r="A82" s="546" t="s">
        <v>573</v>
      </c>
      <c r="B82" s="546"/>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c r="AA82" s="546"/>
      <c r="AB82" s="546"/>
      <c r="AC82" s="546"/>
      <c r="AD82" s="546"/>
      <c r="AE82" s="546"/>
      <c r="AF82" s="546"/>
      <c r="AG82" s="546"/>
      <c r="AH82" s="546"/>
      <c r="AI82" s="546"/>
      <c r="AJ82" s="546"/>
      <c r="AK82" s="546"/>
      <c r="AL82" s="546"/>
      <c r="AM82" s="546"/>
      <c r="AN82" s="546"/>
      <c r="AO82" s="546"/>
      <c r="AP82" s="546"/>
      <c r="AQ82" s="546"/>
      <c r="AR82" s="546"/>
      <c r="AS82" s="546"/>
    </row>
    <row r="83" spans="1:47" ht="30" customHeight="1">
      <c r="A83" s="546" t="s">
        <v>574</v>
      </c>
      <c r="B83" s="546"/>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c r="AA83" s="546"/>
      <c r="AB83" s="546"/>
      <c r="AC83" s="546"/>
      <c r="AD83" s="546"/>
      <c r="AE83" s="546"/>
      <c r="AF83" s="546"/>
      <c r="AG83" s="546"/>
      <c r="AH83" s="546"/>
      <c r="AI83" s="546"/>
      <c r="AJ83" s="546"/>
      <c r="AK83" s="546"/>
      <c r="AL83" s="546"/>
      <c r="AM83" s="546"/>
      <c r="AN83" s="546"/>
      <c r="AO83" s="546"/>
      <c r="AP83" s="546"/>
      <c r="AQ83" s="546"/>
      <c r="AR83" s="546"/>
      <c r="AS83" s="546"/>
    </row>
    <row r="84" spans="1:47">
      <c r="A84" s="546"/>
      <c r="B84" s="546"/>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c r="AA84" s="546"/>
      <c r="AB84" s="546"/>
      <c r="AC84" s="546"/>
      <c r="AD84" s="546"/>
      <c r="AE84" s="546"/>
      <c r="AF84" s="546"/>
      <c r="AG84" s="546"/>
      <c r="AH84" s="546"/>
      <c r="AI84" s="546"/>
      <c r="AJ84" s="546"/>
      <c r="AK84" s="546"/>
      <c r="AL84" s="546"/>
      <c r="AM84" s="546"/>
      <c r="AN84" s="546"/>
      <c r="AO84" s="546"/>
      <c r="AP84" s="546"/>
      <c r="AQ84" s="546"/>
      <c r="AR84" s="546"/>
      <c r="AS84" s="546"/>
    </row>
    <row r="85" spans="1:47">
      <c r="A85" s="691" t="s">
        <v>575</v>
      </c>
      <c r="B85" s="691"/>
      <c r="C85" s="691"/>
      <c r="D85" s="691"/>
      <c r="E85" s="691"/>
      <c r="F85" s="691"/>
      <c r="G85" s="691"/>
      <c r="H85" s="691"/>
      <c r="I85" s="691"/>
      <c r="J85" s="691"/>
      <c r="K85" s="691"/>
      <c r="L85" s="691"/>
      <c r="M85" s="691"/>
      <c r="N85" s="691"/>
      <c r="O85" s="691"/>
      <c r="P85" s="691"/>
      <c r="Q85" s="691"/>
      <c r="R85" s="691"/>
      <c r="S85" s="691"/>
      <c r="T85" s="691"/>
      <c r="U85" s="691"/>
      <c r="V85" s="691"/>
      <c r="W85" s="691"/>
      <c r="X85" s="691"/>
      <c r="Y85" s="691"/>
      <c r="Z85" s="691"/>
      <c r="AA85" s="691"/>
      <c r="AB85" s="691"/>
      <c r="AC85" s="691"/>
      <c r="AD85" s="691"/>
      <c r="AE85" s="691"/>
      <c r="AF85" s="691"/>
      <c r="AG85" s="691"/>
      <c r="AH85" s="691"/>
      <c r="AI85" s="691"/>
      <c r="AJ85" s="691"/>
      <c r="AK85" s="691"/>
      <c r="AL85" s="691"/>
      <c r="AM85" s="691"/>
      <c r="AN85" s="691"/>
      <c r="AO85" s="691"/>
      <c r="AP85" s="691"/>
      <c r="AQ85" s="691"/>
      <c r="AR85" s="691"/>
      <c r="AS85" s="691"/>
    </row>
    <row r="86" spans="1:47" ht="45" customHeight="1">
      <c r="A86" s="546" t="s">
        <v>576</v>
      </c>
      <c r="B86" s="546"/>
      <c r="C86" s="546"/>
      <c r="D86" s="546"/>
      <c r="E86" s="546"/>
      <c r="F86" s="546"/>
      <c r="G86" s="546"/>
      <c r="H86" s="546"/>
      <c r="I86" s="546"/>
      <c r="J86" s="546"/>
      <c r="K86" s="546"/>
      <c r="L86" s="546"/>
      <c r="M86" s="546"/>
      <c r="N86" s="546"/>
      <c r="O86" s="546"/>
      <c r="P86" s="546"/>
      <c r="Q86" s="546"/>
      <c r="R86" s="546"/>
      <c r="S86" s="546"/>
      <c r="T86" s="546"/>
      <c r="U86" s="546"/>
      <c r="V86" s="546"/>
      <c r="W86" s="546"/>
      <c r="X86" s="546"/>
      <c r="Y86" s="546"/>
      <c r="Z86" s="546"/>
      <c r="AA86" s="546"/>
      <c r="AB86" s="546"/>
      <c r="AC86" s="546"/>
      <c r="AD86" s="546"/>
      <c r="AE86" s="546"/>
      <c r="AF86" s="546"/>
      <c r="AG86" s="546"/>
      <c r="AH86" s="546"/>
      <c r="AI86" s="546"/>
      <c r="AJ86" s="546"/>
      <c r="AK86" s="546"/>
      <c r="AL86" s="546"/>
      <c r="AM86" s="546"/>
      <c r="AN86" s="546"/>
      <c r="AO86" s="546"/>
      <c r="AP86" s="546"/>
      <c r="AQ86" s="546"/>
      <c r="AR86" s="546"/>
      <c r="AS86" s="546"/>
    </row>
    <row r="87" spans="1:47" ht="90" customHeight="1">
      <c r="A87" s="546" t="s">
        <v>577</v>
      </c>
      <c r="B87" s="546"/>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c r="AA87" s="546"/>
      <c r="AB87" s="546"/>
      <c r="AC87" s="546"/>
      <c r="AD87" s="546"/>
      <c r="AE87" s="546"/>
      <c r="AF87" s="546"/>
      <c r="AG87" s="546"/>
      <c r="AH87" s="546"/>
      <c r="AI87" s="546"/>
      <c r="AJ87" s="546"/>
      <c r="AK87" s="546"/>
      <c r="AL87" s="546"/>
      <c r="AM87" s="546"/>
      <c r="AN87" s="546"/>
      <c r="AO87" s="546"/>
      <c r="AP87" s="546"/>
      <c r="AQ87" s="546"/>
      <c r="AR87" s="546"/>
      <c r="AS87" s="546"/>
    </row>
    <row r="88" spans="1:47" ht="30" customHeight="1">
      <c r="A88" s="546" t="s">
        <v>578</v>
      </c>
      <c r="B88" s="546"/>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c r="AA88" s="546"/>
      <c r="AB88" s="546"/>
      <c r="AC88" s="546"/>
      <c r="AD88" s="546"/>
      <c r="AE88" s="546"/>
      <c r="AF88" s="546"/>
      <c r="AG88" s="546"/>
      <c r="AH88" s="546"/>
      <c r="AI88" s="546"/>
      <c r="AJ88" s="546"/>
      <c r="AK88" s="546"/>
      <c r="AL88" s="546"/>
      <c r="AM88" s="546"/>
      <c r="AN88" s="546"/>
      <c r="AO88" s="546"/>
      <c r="AP88" s="546"/>
      <c r="AQ88" s="546"/>
      <c r="AR88" s="546"/>
      <c r="AS88" s="546"/>
    </row>
    <row r="89" spans="1:47">
      <c r="A89" s="546" t="s">
        <v>579</v>
      </c>
      <c r="B89" s="546"/>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c r="AA89" s="546"/>
      <c r="AB89" s="546"/>
      <c r="AC89" s="546"/>
      <c r="AD89" s="546"/>
      <c r="AE89" s="546"/>
      <c r="AF89" s="546"/>
      <c r="AG89" s="546"/>
      <c r="AH89" s="546"/>
      <c r="AI89" s="546"/>
      <c r="AJ89" s="546"/>
      <c r="AK89" s="546"/>
      <c r="AL89" s="546"/>
      <c r="AM89" s="546"/>
      <c r="AN89" s="546"/>
      <c r="AO89" s="546"/>
      <c r="AP89" s="546"/>
      <c r="AQ89" s="546"/>
      <c r="AR89" s="546"/>
      <c r="AS89" s="546"/>
    </row>
    <row r="90" spans="1:47">
      <c r="A90" s="338"/>
      <c r="B90" s="338"/>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c r="AA90" s="338"/>
      <c r="AB90" s="338"/>
      <c r="AC90" s="338"/>
      <c r="AD90" s="338"/>
      <c r="AE90" s="338"/>
      <c r="AF90" s="338"/>
      <c r="AG90" s="338"/>
      <c r="AH90" s="338"/>
      <c r="AI90" s="338"/>
      <c r="AJ90" s="338"/>
      <c r="AK90" s="338"/>
      <c r="AL90" s="338"/>
      <c r="AM90" s="338"/>
      <c r="AN90" s="338"/>
      <c r="AO90" s="338"/>
      <c r="AP90" s="338"/>
      <c r="AQ90" s="338"/>
      <c r="AR90" s="338"/>
      <c r="AS90" s="338"/>
    </row>
    <row r="91" spans="1:47">
      <c r="A91" s="690" t="s">
        <v>425</v>
      </c>
      <c r="B91" s="690"/>
      <c r="C91" s="690"/>
      <c r="D91" s="690"/>
      <c r="E91" s="690"/>
      <c r="F91" s="690"/>
      <c r="G91" s="690"/>
      <c r="H91" s="690"/>
      <c r="I91" s="690"/>
      <c r="J91" s="690"/>
      <c r="K91" s="690"/>
      <c r="L91" s="690"/>
      <c r="M91" s="690"/>
      <c r="N91" s="690"/>
      <c r="O91" s="690"/>
      <c r="P91" s="690"/>
      <c r="Q91" s="690"/>
      <c r="R91" s="690"/>
      <c r="S91" s="690"/>
      <c r="T91" s="690"/>
      <c r="U91" s="690"/>
      <c r="V91" s="690"/>
      <c r="W91" s="690"/>
      <c r="X91" s="690"/>
      <c r="Y91" s="690"/>
      <c r="Z91" s="690"/>
      <c r="AA91" s="690"/>
      <c r="AB91" s="690"/>
      <c r="AC91" s="690"/>
      <c r="AD91" s="690"/>
      <c r="AE91" s="690"/>
      <c r="AF91" s="690"/>
      <c r="AG91" s="690"/>
      <c r="AH91" s="690"/>
      <c r="AI91" s="690"/>
      <c r="AJ91" s="690"/>
      <c r="AK91" s="690"/>
      <c r="AL91" s="690"/>
      <c r="AM91" s="690"/>
      <c r="AN91" s="690"/>
      <c r="AO91" s="690"/>
      <c r="AP91" s="690"/>
      <c r="AQ91" s="690"/>
      <c r="AR91" s="690"/>
      <c r="AS91" s="690"/>
    </row>
    <row r="92" spans="1:47" ht="30" customHeight="1">
      <c r="A92" s="568" t="s">
        <v>415</v>
      </c>
      <c r="B92" s="568"/>
      <c r="C92" s="568"/>
      <c r="D92" s="568"/>
      <c r="E92" s="568"/>
      <c r="F92" s="568"/>
      <c r="G92" s="568"/>
      <c r="H92" s="568"/>
      <c r="I92" s="568"/>
      <c r="J92" s="568"/>
      <c r="K92" s="568"/>
      <c r="L92" s="568"/>
      <c r="M92" s="568"/>
      <c r="N92" s="568"/>
      <c r="O92" s="568"/>
      <c r="P92" s="568"/>
      <c r="Q92" s="568"/>
      <c r="R92" s="568"/>
      <c r="S92" s="568"/>
      <c r="T92" s="568"/>
      <c r="U92" s="568"/>
      <c r="V92" s="568"/>
      <c r="W92" s="568"/>
      <c r="X92" s="568"/>
      <c r="Y92" s="568"/>
      <c r="Z92" s="568"/>
      <c r="AA92" s="568"/>
      <c r="AB92" s="568"/>
      <c r="AC92" s="568"/>
      <c r="AD92" s="568"/>
      <c r="AE92" s="568"/>
      <c r="AF92" s="568"/>
      <c r="AG92" s="568"/>
      <c r="AH92" s="568"/>
      <c r="AI92" s="568"/>
      <c r="AJ92" s="568"/>
      <c r="AK92" s="568"/>
      <c r="AL92" s="568"/>
      <c r="AM92" s="568"/>
      <c r="AN92" s="568"/>
      <c r="AO92" s="568"/>
      <c r="AP92" s="568"/>
      <c r="AQ92" s="568"/>
      <c r="AR92" s="568"/>
      <c r="AS92" s="568"/>
    </row>
    <row r="93" spans="1:47">
      <c r="A93" s="568" t="s">
        <v>416</v>
      </c>
      <c r="B93" s="568"/>
      <c r="C93" s="568"/>
      <c r="D93" s="568"/>
      <c r="E93" s="568"/>
      <c r="F93" s="568"/>
      <c r="G93" s="568"/>
      <c r="H93" s="568"/>
      <c r="I93" s="568"/>
      <c r="J93" s="568"/>
      <c r="K93" s="568"/>
      <c r="L93" s="568"/>
      <c r="M93" s="568"/>
      <c r="N93" s="568"/>
      <c r="O93" s="568"/>
      <c r="P93" s="568"/>
      <c r="Q93" s="568"/>
      <c r="R93" s="568"/>
      <c r="S93" s="568"/>
      <c r="T93" s="568"/>
      <c r="U93" s="568"/>
      <c r="V93" s="568"/>
      <c r="W93" s="568"/>
      <c r="X93" s="568"/>
      <c r="Y93" s="568"/>
      <c r="Z93" s="568"/>
      <c r="AA93" s="568"/>
      <c r="AB93" s="568"/>
      <c r="AC93" s="568"/>
      <c r="AD93" s="568"/>
      <c r="AE93" s="568"/>
      <c r="AF93" s="568"/>
      <c r="AG93" s="568"/>
      <c r="AH93" s="568"/>
      <c r="AI93" s="568"/>
      <c r="AJ93" s="568"/>
      <c r="AK93" s="568"/>
      <c r="AL93" s="568"/>
      <c r="AM93" s="568"/>
      <c r="AN93" s="568"/>
      <c r="AO93" s="568"/>
      <c r="AP93" s="568"/>
      <c r="AQ93" s="568"/>
      <c r="AR93" s="568"/>
      <c r="AS93" s="568"/>
    </row>
    <row r="94" spans="1:47">
      <c r="A94" s="568" t="s">
        <v>439</v>
      </c>
      <c r="B94" s="568"/>
      <c r="C94" s="568"/>
      <c r="D94" s="568"/>
      <c r="E94" s="568"/>
      <c r="F94" s="568"/>
      <c r="G94" s="568"/>
      <c r="H94" s="568"/>
      <c r="I94" s="568"/>
      <c r="J94" s="568"/>
      <c r="K94" s="568"/>
      <c r="L94" s="568"/>
      <c r="M94" s="568"/>
      <c r="N94" s="568"/>
      <c r="O94" s="568"/>
      <c r="P94" s="568"/>
      <c r="Q94" s="568"/>
      <c r="R94" s="568"/>
      <c r="S94" s="568"/>
      <c r="T94" s="568"/>
      <c r="U94" s="568"/>
      <c r="V94" s="568"/>
      <c r="W94" s="568"/>
      <c r="X94" s="568"/>
      <c r="Y94" s="568"/>
      <c r="Z94" s="568"/>
      <c r="AA94" s="568"/>
      <c r="AB94" s="568"/>
      <c r="AC94" s="568"/>
      <c r="AD94" s="568"/>
      <c r="AE94" s="568"/>
      <c r="AF94" s="568"/>
      <c r="AG94" s="568"/>
      <c r="AH94" s="568"/>
      <c r="AI94" s="568"/>
      <c r="AJ94" s="568"/>
      <c r="AK94" s="568"/>
      <c r="AL94" s="568"/>
      <c r="AM94" s="568"/>
      <c r="AN94" s="568"/>
      <c r="AO94" s="568"/>
      <c r="AP94" s="568"/>
      <c r="AQ94" s="568"/>
      <c r="AR94" s="568"/>
      <c r="AS94" s="568"/>
      <c r="AU94" s="127"/>
    </row>
    <row r="95" spans="1:47">
      <c r="A95" s="568" t="s">
        <v>440</v>
      </c>
      <c r="B95" s="568"/>
      <c r="C95" s="568"/>
      <c r="D95" s="568"/>
      <c r="E95" s="568"/>
      <c r="F95" s="568"/>
      <c r="G95" s="568"/>
      <c r="H95" s="568"/>
      <c r="I95" s="568"/>
      <c r="J95" s="568"/>
      <c r="K95" s="568"/>
      <c r="L95" s="568"/>
      <c r="M95" s="568"/>
      <c r="N95" s="568"/>
      <c r="O95" s="568"/>
      <c r="P95" s="568"/>
      <c r="Q95" s="568"/>
      <c r="R95" s="568"/>
      <c r="S95" s="568"/>
      <c r="T95" s="568"/>
      <c r="U95" s="568"/>
      <c r="V95" s="568"/>
      <c r="W95" s="568"/>
      <c r="X95" s="568"/>
      <c r="Y95" s="568"/>
      <c r="Z95" s="568"/>
      <c r="AA95" s="568"/>
      <c r="AB95" s="568"/>
      <c r="AC95" s="568"/>
      <c r="AD95" s="568"/>
      <c r="AE95" s="568"/>
      <c r="AF95" s="568"/>
      <c r="AG95" s="568"/>
      <c r="AH95" s="568"/>
      <c r="AI95" s="568"/>
      <c r="AJ95" s="568"/>
      <c r="AK95" s="568"/>
      <c r="AL95" s="568"/>
      <c r="AM95" s="568"/>
      <c r="AN95" s="568"/>
      <c r="AO95" s="568"/>
      <c r="AP95" s="568"/>
      <c r="AQ95" s="568"/>
      <c r="AR95" s="568"/>
      <c r="AS95" s="568"/>
      <c r="AU95" s="127"/>
    </row>
    <row r="96" spans="1:47">
      <c r="A96" s="568" t="s">
        <v>441</v>
      </c>
      <c r="B96" s="568"/>
      <c r="C96" s="568"/>
      <c r="D96" s="568"/>
      <c r="E96" s="568"/>
      <c r="F96" s="568"/>
      <c r="G96" s="568"/>
      <c r="H96" s="568"/>
      <c r="I96" s="568"/>
      <c r="J96" s="568"/>
      <c r="K96" s="568"/>
      <c r="L96" s="568"/>
      <c r="M96" s="568"/>
      <c r="N96" s="568"/>
      <c r="O96" s="568"/>
      <c r="P96" s="568"/>
      <c r="Q96" s="568"/>
      <c r="R96" s="568"/>
      <c r="S96" s="568"/>
      <c r="T96" s="568"/>
      <c r="U96" s="568"/>
      <c r="V96" s="568"/>
      <c r="W96" s="568"/>
      <c r="X96" s="568"/>
      <c r="Y96" s="568"/>
      <c r="Z96" s="568"/>
      <c r="AA96" s="568"/>
      <c r="AB96" s="568"/>
      <c r="AC96" s="568"/>
      <c r="AD96" s="568"/>
      <c r="AE96" s="568"/>
      <c r="AF96" s="568"/>
      <c r="AG96" s="568"/>
      <c r="AH96" s="568"/>
      <c r="AI96" s="568"/>
      <c r="AJ96" s="568"/>
      <c r="AK96" s="568"/>
      <c r="AL96" s="568"/>
      <c r="AM96" s="568"/>
      <c r="AN96" s="568"/>
      <c r="AO96" s="568"/>
      <c r="AP96" s="568"/>
      <c r="AQ96" s="568"/>
      <c r="AR96" s="568"/>
      <c r="AS96" s="568"/>
      <c r="AU96" s="127"/>
    </row>
    <row r="97" spans="1:47" ht="30" customHeight="1">
      <c r="A97" s="568" t="s">
        <v>442</v>
      </c>
      <c r="B97" s="568"/>
      <c r="C97" s="568"/>
      <c r="D97" s="568"/>
      <c r="E97" s="568"/>
      <c r="F97" s="568"/>
      <c r="G97" s="568"/>
      <c r="H97" s="568"/>
      <c r="I97" s="568"/>
      <c r="J97" s="568"/>
      <c r="K97" s="568"/>
      <c r="L97" s="568"/>
      <c r="M97" s="568"/>
      <c r="N97" s="568"/>
      <c r="O97" s="568"/>
      <c r="P97" s="568"/>
      <c r="Q97" s="568"/>
      <c r="R97" s="568"/>
      <c r="S97" s="568"/>
      <c r="T97" s="568"/>
      <c r="U97" s="568"/>
      <c r="V97" s="568"/>
      <c r="W97" s="568"/>
      <c r="X97" s="568"/>
      <c r="Y97" s="568"/>
      <c r="Z97" s="568"/>
      <c r="AA97" s="568"/>
      <c r="AB97" s="568"/>
      <c r="AC97" s="568"/>
      <c r="AD97" s="568"/>
      <c r="AE97" s="568"/>
      <c r="AF97" s="568"/>
      <c r="AG97" s="568"/>
      <c r="AH97" s="568"/>
      <c r="AI97" s="568"/>
      <c r="AJ97" s="568"/>
      <c r="AK97" s="568"/>
      <c r="AL97" s="568"/>
      <c r="AM97" s="568"/>
      <c r="AN97" s="568"/>
      <c r="AO97" s="568"/>
      <c r="AP97" s="568"/>
      <c r="AQ97" s="568"/>
      <c r="AR97" s="568"/>
      <c r="AS97" s="568"/>
      <c r="AU97" s="127"/>
    </row>
    <row r="98" spans="1:47">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row>
    <row r="99" spans="1:47">
      <c r="A99" s="570" t="s">
        <v>580</v>
      </c>
      <c r="B99" s="570"/>
      <c r="C99" s="570"/>
      <c r="D99" s="570"/>
      <c r="E99" s="570"/>
      <c r="F99" s="570"/>
      <c r="G99" s="570"/>
      <c r="H99" s="570"/>
      <c r="I99" s="570"/>
      <c r="J99" s="570"/>
      <c r="K99" s="570"/>
      <c r="L99" s="570"/>
      <c r="M99" s="570"/>
      <c r="N99" s="570"/>
      <c r="O99" s="570"/>
      <c r="P99" s="570"/>
      <c r="Q99" s="570"/>
      <c r="R99" s="570"/>
      <c r="S99" s="570"/>
      <c r="T99" s="570"/>
      <c r="U99" s="570"/>
      <c r="V99" s="570"/>
      <c r="W99" s="570"/>
      <c r="X99" s="570"/>
      <c r="Y99" s="570"/>
      <c r="Z99" s="570"/>
      <c r="AA99" s="570"/>
      <c r="AB99" s="570"/>
      <c r="AC99" s="570"/>
      <c r="AD99" s="570"/>
      <c r="AE99" s="570"/>
      <c r="AF99" s="570"/>
      <c r="AG99" s="570"/>
      <c r="AH99" s="570"/>
      <c r="AI99" s="570"/>
      <c r="AJ99" s="570"/>
      <c r="AK99" s="570"/>
      <c r="AL99" s="570"/>
      <c r="AM99" s="570"/>
      <c r="AN99" s="570"/>
      <c r="AO99" s="570"/>
      <c r="AP99" s="570"/>
      <c r="AQ99" s="570"/>
      <c r="AR99" s="570"/>
      <c r="AS99" s="570"/>
    </row>
    <row r="100" spans="1:47">
      <c r="B100" s="88" t="str">
        <f>CONCATENATE("Арендодатель: ООО «",BX2,"»")</f>
        <v>Арендодатель: ООО «Универсальная производственно-строительная компания»</v>
      </c>
    </row>
    <row r="101" spans="1:47">
      <c r="B101" s="309" t="str">
        <f>CONCATENATE("Почтовый адрес: ",BX9)</f>
        <v>Почтовый адрес: 620066, Свердловская область, г. Екатеринбург, ул. Вилонова, стр. 45Л</v>
      </c>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310"/>
      <c r="AH101" s="310"/>
      <c r="AI101" s="310"/>
      <c r="AJ101" s="310"/>
      <c r="AK101" s="310"/>
      <c r="AL101" s="310"/>
      <c r="AM101" s="310"/>
      <c r="AN101" s="310"/>
      <c r="AO101" s="310"/>
      <c r="AP101" s="310"/>
      <c r="AQ101" s="310"/>
      <c r="AR101" s="310"/>
      <c r="AS101" s="310"/>
    </row>
    <row r="102" spans="1:47">
      <c r="B102" s="309" t="str">
        <f>CONCATENATE("Юридический адрес: ",BX8)</f>
        <v>Юридический адрес: 620066, Свердловская область, г. Екатеринбург, ул. Вилонова, стр. 45Л, офис 506,</v>
      </c>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c r="AA102" s="310"/>
      <c r="AB102" s="310"/>
      <c r="AC102" s="310"/>
      <c r="AD102" s="310"/>
      <c r="AE102" s="310"/>
      <c r="AF102" s="310"/>
      <c r="AG102" s="310"/>
      <c r="AH102" s="310"/>
      <c r="AI102" s="310"/>
      <c r="AJ102" s="310"/>
      <c r="AK102" s="310"/>
      <c r="AL102" s="310"/>
      <c r="AM102" s="310"/>
      <c r="AN102" s="310"/>
      <c r="AO102" s="310"/>
      <c r="AP102" s="310"/>
      <c r="AQ102" s="310"/>
      <c r="AR102" s="310"/>
      <c r="AS102" s="310"/>
    </row>
    <row r="103" spans="1:47">
      <c r="B103" s="309" t="str">
        <f>CONCATENATE("ИНН/КПП  ",BX5," / ",BX6)</f>
        <v>ИНН/КПП  6670463929 / 667001001</v>
      </c>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c r="AA103" s="310"/>
      <c r="AB103" s="310"/>
      <c r="AC103" s="310"/>
      <c r="AD103" s="310"/>
      <c r="AE103" s="310"/>
      <c r="AF103" s="310"/>
      <c r="AG103" s="310"/>
      <c r="AH103" s="310"/>
      <c r="AI103" s="310"/>
      <c r="AJ103" s="310"/>
      <c r="AK103" s="310"/>
      <c r="AL103" s="310"/>
      <c r="AM103" s="310"/>
      <c r="AN103" s="310"/>
      <c r="AO103" s="310"/>
      <c r="AP103" s="310"/>
      <c r="AQ103" s="310"/>
      <c r="AR103" s="310"/>
      <c r="AS103" s="310"/>
    </row>
    <row r="104" spans="1:47">
      <c r="B104" s="309" t="str">
        <f>CONCATENATE("Р/счет ",BX10," в ",BX11)</f>
        <v>Р/счет 40702810816540041503 в УРАЛЬСКИЙ БАНК ПАО СБЕРБАНК</v>
      </c>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c r="AA104" s="310"/>
      <c r="AB104" s="310"/>
      <c r="AC104" s="310"/>
      <c r="AD104" s="310"/>
      <c r="AE104" s="310"/>
      <c r="AF104" s="310"/>
      <c r="AG104" s="310"/>
      <c r="AH104" s="310"/>
      <c r="AI104" s="310"/>
      <c r="AJ104" s="310"/>
      <c r="AK104" s="310"/>
      <c r="AL104" s="310"/>
      <c r="AM104" s="310"/>
      <c r="AN104" s="310"/>
      <c r="AO104" s="310"/>
      <c r="AP104" s="310"/>
      <c r="AQ104" s="310"/>
      <c r="AR104" s="310"/>
      <c r="AS104" s="310"/>
    </row>
    <row r="105" spans="1:47">
      <c r="B105" s="309" t="str">
        <f>CONCATENATE("БИК ",BX13)</f>
        <v>БИК 046577674</v>
      </c>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c r="AA105" s="310"/>
      <c r="AB105" s="310"/>
      <c r="AC105" s="310"/>
      <c r="AD105" s="310"/>
      <c r="AE105" s="310"/>
      <c r="AF105" s="310"/>
      <c r="AG105" s="310"/>
      <c r="AH105" s="310"/>
      <c r="AI105" s="310"/>
      <c r="AJ105" s="310"/>
      <c r="AK105" s="310"/>
      <c r="AL105" s="310"/>
      <c r="AM105" s="310"/>
      <c r="AN105" s="310"/>
      <c r="AO105" s="310"/>
      <c r="AP105" s="310"/>
      <c r="AQ105" s="310"/>
      <c r="AR105" s="310"/>
      <c r="AS105" s="310"/>
    </row>
    <row r="106" spans="1:47">
      <c r="B106" s="309" t="str">
        <f>CONCATENATE("К/с ",BX12)</f>
        <v>К/с 30101810500000000674</v>
      </c>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9" t="s">
        <v>543</v>
      </c>
      <c r="Y106" s="319"/>
      <c r="Z106" s="319"/>
      <c r="AA106" s="319"/>
      <c r="AB106" s="319"/>
      <c r="AC106" s="319"/>
      <c r="AD106" s="319"/>
      <c r="AE106" s="319"/>
      <c r="AF106" s="319"/>
      <c r="AG106" s="319"/>
      <c r="AH106" s="310"/>
      <c r="AI106" s="310"/>
      <c r="AJ106" s="310"/>
      <c r="AK106" s="310"/>
      <c r="AL106" s="310"/>
      <c r="AM106" s="310"/>
      <c r="AN106" s="310"/>
      <c r="AO106" s="310"/>
      <c r="AP106" s="310"/>
      <c r="AQ106" s="310"/>
      <c r="AR106" s="310"/>
      <c r="AS106" s="310"/>
    </row>
    <row r="107" spans="1:47">
      <c r="B107" s="309" t="str">
        <f>CONCATENATE("ОГРН: ",BX7)</f>
        <v>ОГРН: 1186658009042</v>
      </c>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c r="AA107" s="310"/>
      <c r="AB107" s="310"/>
      <c r="AC107" s="310"/>
      <c r="AD107" s="310"/>
      <c r="AE107" s="310"/>
      <c r="AF107" s="310"/>
      <c r="AG107" s="310"/>
      <c r="AH107" s="310"/>
      <c r="AI107" s="310"/>
      <c r="AJ107" s="310"/>
      <c r="AK107" s="310"/>
      <c r="AL107" s="310"/>
      <c r="AM107" s="310"/>
      <c r="AN107" s="310"/>
      <c r="AO107" s="310"/>
      <c r="AP107" s="310"/>
      <c r="AQ107" s="310"/>
      <c r="AR107" s="310"/>
      <c r="AS107" s="310"/>
    </row>
    <row r="108" spans="1:47" ht="15.75" customHeight="1"/>
    <row r="109" spans="1:47">
      <c r="B109" s="164" t="str">
        <f>CONCATENATE("Арендатор: ",ДляДоговора!B4)</f>
        <v>Арендатор: ООО "Эдвако-Инжиниринг"</v>
      </c>
    </row>
    <row r="110" spans="1:47">
      <c r="B110" s="166" t="str">
        <f>CONCATENATE("Юридический адрес: ",ДляДоговора!B9)</f>
        <v>Юридический адрес: 620014, РФ, г. Екатеринбург, ул. Московская, д.11 офис 903</v>
      </c>
    </row>
    <row r="111" spans="1:47">
      <c r="B111" s="136" t="str">
        <f>CONCATENATE("Фактический адрес: ",ДляДоговора!B17)</f>
        <v xml:space="preserve">Фактический адрес: 620014, РФ, г. Екатеринбург, ул. Московская, д.11 офис 903 </v>
      </c>
      <c r="AE111" s="95"/>
    </row>
    <row r="112" spans="1:47">
      <c r="B112" s="166" t="str">
        <f>CONCATENATE("ИНН/КПП ",ДляДоговора!B10,"/",ДляДоговора!B11)</f>
        <v>ИНН/КПП 6658401387/665801001</v>
      </c>
      <c r="AE112" s="95"/>
    </row>
    <row r="113" spans="1:49">
      <c r="B113" s="166" t="str">
        <f>CONCATENATE("Р/счет ",ДляДоговора!B12," в ",ДляДоговора!B13)</f>
        <v>Р/счет 40702810562130001221  в ПАО КБ «УБРиР»</v>
      </c>
      <c r="AE113" s="95"/>
    </row>
    <row r="114" spans="1:49">
      <c r="B114" s="166" t="str">
        <f>CONCATENATE("БИК ",ДляДоговора!B14)</f>
        <v>БИК 046577795</v>
      </c>
      <c r="AE114" s="95"/>
    </row>
    <row r="115" spans="1:49">
      <c r="B115" s="166" t="str">
        <f>CONCATENATE("К/с ",ДляДоговора!B15)</f>
        <v>К/с 30101810900000000795</v>
      </c>
      <c r="X115" s="97" t="str">
        <f>CONCATENATE("e-mail: ",ДляДоговора!B19)</f>
        <v>e-mail: ekoryazhbin@mail.ru</v>
      </c>
      <c r="Y115" s="97"/>
      <c r="Z115" s="97"/>
      <c r="AA115" s="97"/>
      <c r="AB115" s="97"/>
      <c r="AC115" s="97"/>
      <c r="AD115" s="97"/>
      <c r="AE115" s="318"/>
      <c r="AF115" s="97"/>
      <c r="AG115" s="97"/>
      <c r="AH115" s="97"/>
      <c r="AI115" s="97"/>
      <c r="AJ115" s="97"/>
    </row>
    <row r="116" spans="1:49" ht="15.75" customHeight="1">
      <c r="B116" s="166" t="str">
        <f>CONCATENATE("ОГРН: ",ДляДоговора!B16)</f>
        <v>ОГРН: 1126658000050</v>
      </c>
    </row>
    <row r="117" spans="1:49">
      <c r="Q117" s="340" t="s">
        <v>115</v>
      </c>
      <c r="W117" s="339"/>
    </row>
    <row r="119" spans="1:49">
      <c r="B119" s="94" t="s">
        <v>116</v>
      </c>
      <c r="AF119" s="94" t="s">
        <v>117</v>
      </c>
    </row>
    <row r="121" spans="1:49">
      <c r="B121" s="97"/>
      <c r="C121" s="97"/>
      <c r="D121" s="97"/>
      <c r="E121" s="97"/>
      <c r="F121" s="97"/>
      <c r="G121" s="97"/>
      <c r="H121" s="97"/>
      <c r="I121" s="97"/>
      <c r="J121" s="97"/>
      <c r="K121" s="97"/>
      <c r="L121" s="97"/>
      <c r="M121" s="93" t="str">
        <f>BX4</f>
        <v>А.П. Выборных</v>
      </c>
      <c r="AF121" s="97"/>
      <c r="AG121" s="97"/>
      <c r="AH121" s="97"/>
      <c r="AI121" s="97"/>
      <c r="AJ121" s="97"/>
      <c r="AK121" s="97"/>
      <c r="AL121" s="97"/>
      <c r="AM121" s="97"/>
      <c r="AN121" s="97"/>
      <c r="AO121" s="97"/>
      <c r="AP121" s="97"/>
    </row>
    <row r="123" spans="1:49">
      <c r="B123" s="94" t="s">
        <v>118</v>
      </c>
      <c r="AF123" s="94" t="s">
        <v>118</v>
      </c>
    </row>
    <row r="124" spans="1:49">
      <c r="A124" s="544" t="str">
        <f ca="1">CONCATENATE("Приложение №1 к договору аренды оборудования №",ДляДоговора!B2)</f>
        <v>Приложение №1 к договору аренды оборудования №30/03-А(23)</v>
      </c>
      <c r="B124" s="544"/>
      <c r="C124" s="544"/>
      <c r="D124" s="544"/>
      <c r="E124" s="544"/>
      <c r="F124" s="544"/>
      <c r="G124" s="544"/>
      <c r="H124" s="544"/>
      <c r="I124" s="544"/>
      <c r="J124" s="544"/>
      <c r="K124" s="544"/>
      <c r="L124" s="544"/>
      <c r="M124" s="544"/>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44"/>
      <c r="AQ124" s="544"/>
      <c r="AR124" s="544"/>
      <c r="AS124" s="544"/>
    </row>
    <row r="125" spans="1:49" ht="15.75" customHeight="1">
      <c r="AL125" s="197" t="str">
        <f ca="1">CONCATENATE("от ",ДляДоговора!B3)</f>
        <v>от 30 марта 2023г.</v>
      </c>
    </row>
    <row r="126" spans="1:49">
      <c r="V126" s="88"/>
    </row>
    <row r="127" spans="1:49">
      <c r="A127" s="545" t="str">
        <f>CONCATENATE("СПЕЦИФИКАЦИЯ №",AV127," НА АРЕНДУЕМОЕ ОБОРУДОВАНИЕ")</f>
        <v>СПЕЦИФИКАЦИЯ №1 НА АРЕНДУЕМОЕ ОБОРУДОВАНИЕ</v>
      </c>
      <c r="B127" s="545"/>
      <c r="C127" s="545"/>
      <c r="D127" s="545"/>
      <c r="E127" s="545"/>
      <c r="F127" s="545"/>
      <c r="G127" s="545"/>
      <c r="H127" s="545"/>
      <c r="I127" s="545"/>
      <c r="J127" s="545"/>
      <c r="K127" s="545"/>
      <c r="L127" s="545"/>
      <c r="M127" s="545"/>
      <c r="N127" s="545"/>
      <c r="O127" s="545"/>
      <c r="P127" s="545"/>
      <c r="Q127" s="545"/>
      <c r="R127" s="545"/>
      <c r="S127" s="545"/>
      <c r="T127" s="545"/>
      <c r="U127" s="545"/>
      <c r="V127" s="545"/>
      <c r="W127" s="545"/>
      <c r="X127" s="545"/>
      <c r="Y127" s="545"/>
      <c r="Z127" s="545"/>
      <c r="AA127" s="545"/>
      <c r="AB127" s="545"/>
      <c r="AC127" s="545"/>
      <c r="AD127" s="545"/>
      <c r="AE127" s="545"/>
      <c r="AF127" s="545"/>
      <c r="AG127" s="545"/>
      <c r="AH127" s="545"/>
      <c r="AI127" s="545"/>
      <c r="AJ127" s="545"/>
      <c r="AK127" s="545"/>
      <c r="AL127" s="545"/>
      <c r="AM127" s="545"/>
      <c r="AN127" s="545"/>
      <c r="AO127" s="545"/>
      <c r="AP127" s="545"/>
      <c r="AQ127" s="545"/>
      <c r="AR127" s="545"/>
      <c r="AS127" s="545"/>
      <c r="AV127" s="241">
        <v>1</v>
      </c>
      <c r="AW127" s="93" t="s">
        <v>461</v>
      </c>
    </row>
    <row r="128" spans="1:49">
      <c r="A128" s="569" t="str">
        <f>CONCATENATE("ВЫШКА-ТУРА ",'Вышки туры'!J7," Высотой ",AW22,"м, ",AW23," шт.")</f>
        <v>ВЫШКА-ТУРА ПСРВ-21 Высотой 3,89м, 1 шт.</v>
      </c>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V128" s="272"/>
    </row>
    <row r="129" spans="1:46">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c r="AD129" s="230"/>
      <c r="AE129" s="230"/>
      <c r="AF129" s="230"/>
      <c r="AG129" s="230"/>
      <c r="AH129" s="230"/>
      <c r="AI129" s="230"/>
      <c r="AJ129" s="230"/>
      <c r="AK129" s="230"/>
      <c r="AL129" s="230"/>
      <c r="AM129" s="230"/>
      <c r="AN129" s="230"/>
      <c r="AO129" s="230"/>
      <c r="AP129" s="230"/>
      <c r="AQ129" s="230"/>
      <c r="AR129" s="230"/>
      <c r="AS129" s="230"/>
    </row>
    <row r="130" spans="1:46">
      <c r="A130" s="94" t="str">
        <f>ДляДоговора!B22</f>
        <v>г. Екатеринбург</v>
      </c>
    </row>
    <row r="132" spans="1:46">
      <c r="A132" s="566" t="s">
        <v>399</v>
      </c>
      <c r="B132" s="566"/>
      <c r="C132" s="566"/>
      <c r="D132" s="566"/>
      <c r="E132" s="566"/>
      <c r="F132" s="566"/>
      <c r="G132" s="566"/>
      <c r="H132" s="566"/>
      <c r="I132" s="566"/>
      <c r="J132" s="566"/>
      <c r="K132" s="566"/>
      <c r="L132" s="566"/>
      <c r="M132" s="566"/>
      <c r="N132" s="566"/>
      <c r="O132" s="566"/>
      <c r="P132" s="566"/>
      <c r="Q132" s="566"/>
      <c r="R132" s="566"/>
      <c r="S132" s="566"/>
      <c r="T132" s="566"/>
      <c r="U132" s="566"/>
      <c r="V132" s="566"/>
      <c r="W132" s="566"/>
      <c r="X132" s="566"/>
      <c r="Y132" s="566"/>
      <c r="Z132" s="566"/>
      <c r="AA132" s="566"/>
      <c r="AB132" s="566"/>
      <c r="AC132" s="566"/>
      <c r="AD132" s="566"/>
      <c r="AE132" s="566"/>
      <c r="AF132" s="566"/>
      <c r="AG132" s="566"/>
      <c r="AH132" s="566"/>
      <c r="AI132" s="566"/>
      <c r="AJ132" s="566"/>
      <c r="AK132" s="566"/>
      <c r="AL132" s="566"/>
      <c r="AM132" s="566"/>
      <c r="AN132" s="566"/>
      <c r="AO132" s="566"/>
      <c r="AP132" s="566"/>
      <c r="AQ132" s="566"/>
      <c r="AR132" s="566"/>
      <c r="AS132" s="566"/>
      <c r="AT132" s="566"/>
    </row>
    <row r="133" spans="1:46">
      <c r="A133" s="217"/>
      <c r="B133" s="217"/>
      <c r="C133" s="217"/>
      <c r="D133" s="217"/>
      <c r="E133" s="217"/>
      <c r="F133" s="217"/>
      <c r="G133" s="217"/>
      <c r="H133" s="217"/>
      <c r="I133" s="217"/>
      <c r="J133" s="217"/>
      <c r="K133" s="217"/>
      <c r="L133" s="217"/>
      <c r="M133" s="217"/>
      <c r="N133" s="217"/>
      <c r="O133" s="217"/>
      <c r="P133" s="217"/>
      <c r="Q133" s="217"/>
      <c r="R133" s="217"/>
      <c r="S133" s="217"/>
      <c r="T133" s="217"/>
      <c r="U133" s="217"/>
      <c r="V133" s="217"/>
      <c r="W133" s="217"/>
      <c r="X133" s="217"/>
      <c r="Y133" s="217"/>
      <c r="Z133" s="217"/>
      <c r="AA133" s="217"/>
      <c r="AB133" s="217"/>
      <c r="AC133" s="217"/>
      <c r="AD133" s="217"/>
      <c r="AE133" s="217"/>
      <c r="AF133" s="217"/>
      <c r="AG133" s="217"/>
      <c r="AH133" s="217"/>
      <c r="AI133" s="217"/>
      <c r="AJ133" s="217"/>
      <c r="AK133" s="217"/>
      <c r="AL133" s="217"/>
      <c r="AM133" s="217"/>
      <c r="AN133" s="217"/>
      <c r="AO133" s="217"/>
      <c r="AP133" s="217"/>
      <c r="AQ133" s="217"/>
      <c r="AR133" s="217"/>
      <c r="AS133" s="217"/>
      <c r="AT133" s="217"/>
    </row>
    <row r="134" spans="1:46" ht="30.75" customHeight="1">
      <c r="A134" s="510" t="s">
        <v>121</v>
      </c>
      <c r="B134" s="510"/>
      <c r="C134" s="510"/>
      <c r="D134" s="510"/>
      <c r="E134" s="510" t="s">
        <v>31</v>
      </c>
      <c r="F134" s="510"/>
      <c r="G134" s="510"/>
      <c r="H134" s="510"/>
      <c r="I134" s="510"/>
      <c r="J134" s="510"/>
      <c r="K134" s="510"/>
      <c r="L134" s="510"/>
      <c r="M134" s="510"/>
      <c r="N134" s="510"/>
      <c r="O134" s="510"/>
      <c r="P134" s="510"/>
      <c r="Q134" s="510"/>
      <c r="R134" s="510"/>
      <c r="S134" s="510"/>
      <c r="T134" s="510"/>
      <c r="U134" s="510"/>
      <c r="V134" s="510"/>
      <c r="W134" s="510"/>
      <c r="X134" s="510"/>
      <c r="Y134" s="507" t="s">
        <v>123</v>
      </c>
      <c r="Z134" s="507"/>
      <c r="AA134" s="507"/>
      <c r="AB134" s="507"/>
      <c r="AC134" s="507"/>
      <c r="AD134" s="507"/>
      <c r="AE134" s="507"/>
      <c r="AF134" s="507" t="s">
        <v>122</v>
      </c>
      <c r="AG134" s="507"/>
      <c r="AH134" s="507"/>
      <c r="AI134" s="507"/>
      <c r="AJ134" s="507"/>
      <c r="AK134" s="507"/>
      <c r="AL134" s="507"/>
      <c r="AM134" s="510" t="s">
        <v>34</v>
      </c>
      <c r="AN134" s="510"/>
      <c r="AO134" s="510"/>
      <c r="AP134" s="510"/>
      <c r="AQ134" s="510"/>
      <c r="AR134" s="510"/>
      <c r="AS134" s="510"/>
    </row>
    <row r="135" spans="1:46">
      <c r="A135" s="516">
        <v>1</v>
      </c>
      <c r="B135" s="516"/>
      <c r="C135" s="516"/>
      <c r="D135" s="516"/>
      <c r="E135" s="515" t="str">
        <f>'Вышки туры'!A36</f>
        <v>База в сборе (2420мм)</v>
      </c>
      <c r="F135" s="515"/>
      <c r="G135" s="515"/>
      <c r="H135" s="515"/>
      <c r="I135" s="515"/>
      <c r="J135" s="515"/>
      <c r="K135" s="515"/>
      <c r="L135" s="515"/>
      <c r="M135" s="515"/>
      <c r="N135" s="515"/>
      <c r="O135" s="515"/>
      <c r="P135" s="515"/>
      <c r="Q135" s="515"/>
      <c r="R135" s="515"/>
      <c r="S135" s="515"/>
      <c r="T135" s="515"/>
      <c r="U135" s="515"/>
      <c r="V135" s="515"/>
      <c r="W135" s="515"/>
      <c r="X135" s="515"/>
      <c r="Y135" s="516">
        <f>'Вышки туры'!D36</f>
        <v>2</v>
      </c>
      <c r="Z135" s="516"/>
      <c r="AA135" s="516"/>
      <c r="AB135" s="516"/>
      <c r="AC135" s="516"/>
      <c r="AD135" s="516"/>
      <c r="AE135" s="516"/>
      <c r="AF135" s="692">
        <f>'Вышки туры'!H36</f>
        <v>4160</v>
      </c>
      <c r="AG135" s="692"/>
      <c r="AH135" s="692"/>
      <c r="AI135" s="692"/>
      <c r="AJ135" s="692"/>
      <c r="AK135" s="692"/>
      <c r="AL135" s="692"/>
      <c r="AM135" s="551">
        <f t="shared" ref="AM135:AM140" si="0">Y135*AF135</f>
        <v>8320</v>
      </c>
      <c r="AN135" s="551"/>
      <c r="AO135" s="551"/>
      <c r="AP135" s="551"/>
      <c r="AQ135" s="551"/>
      <c r="AR135" s="551"/>
      <c r="AS135" s="551"/>
    </row>
    <row r="136" spans="1:46">
      <c r="A136" s="516">
        <v>2</v>
      </c>
      <c r="B136" s="516"/>
      <c r="C136" s="516"/>
      <c r="D136" s="516"/>
      <c r="E136" s="515" t="str">
        <f>'Вышки туры'!A37</f>
        <v>Лестница секции (1160мм х 1214мм)</v>
      </c>
      <c r="F136" s="515"/>
      <c r="G136" s="515"/>
      <c r="H136" s="515"/>
      <c r="I136" s="515"/>
      <c r="J136" s="515"/>
      <c r="K136" s="515"/>
      <c r="L136" s="515"/>
      <c r="M136" s="515"/>
      <c r="N136" s="515"/>
      <c r="O136" s="515"/>
      <c r="P136" s="515"/>
      <c r="Q136" s="515"/>
      <c r="R136" s="515"/>
      <c r="S136" s="515"/>
      <c r="T136" s="515"/>
      <c r="U136" s="515"/>
      <c r="V136" s="515"/>
      <c r="W136" s="515"/>
      <c r="X136" s="515"/>
      <c r="Y136" s="516">
        <f>'Вышки туры'!D37</f>
        <v>6</v>
      </c>
      <c r="Z136" s="516"/>
      <c r="AA136" s="516"/>
      <c r="AB136" s="516"/>
      <c r="AC136" s="516"/>
      <c r="AD136" s="516"/>
      <c r="AE136" s="516"/>
      <c r="AF136" s="692">
        <f>'Вышки туры'!H37</f>
        <v>1300</v>
      </c>
      <c r="AG136" s="692"/>
      <c r="AH136" s="692"/>
      <c r="AI136" s="692"/>
      <c r="AJ136" s="692"/>
      <c r="AK136" s="692"/>
      <c r="AL136" s="692"/>
      <c r="AM136" s="551">
        <f t="shared" si="0"/>
        <v>7800</v>
      </c>
      <c r="AN136" s="551"/>
      <c r="AO136" s="551"/>
      <c r="AP136" s="551"/>
      <c r="AQ136" s="551"/>
      <c r="AR136" s="551"/>
      <c r="AS136" s="551"/>
    </row>
    <row r="137" spans="1:46">
      <c r="A137" s="516">
        <v>3</v>
      </c>
      <c r="B137" s="516"/>
      <c r="C137" s="516"/>
      <c r="D137" s="516"/>
      <c r="E137" s="515" t="str">
        <f>'Вышки туры'!A38</f>
        <v>Диагональ объемная (2305мм)</v>
      </c>
      <c r="F137" s="515"/>
      <c r="G137" s="515"/>
      <c r="H137" s="515"/>
      <c r="I137" s="515"/>
      <c r="J137" s="515"/>
      <c r="K137" s="515"/>
      <c r="L137" s="515"/>
      <c r="M137" s="515"/>
      <c r="N137" s="515"/>
      <c r="O137" s="515"/>
      <c r="P137" s="515"/>
      <c r="Q137" s="515"/>
      <c r="R137" s="515"/>
      <c r="S137" s="515"/>
      <c r="T137" s="515"/>
      <c r="U137" s="515"/>
      <c r="V137" s="515"/>
      <c r="W137" s="515"/>
      <c r="X137" s="515"/>
      <c r="Y137" s="516">
        <f>'Вышки туры'!D38</f>
        <v>1</v>
      </c>
      <c r="Z137" s="516"/>
      <c r="AA137" s="516"/>
      <c r="AB137" s="516"/>
      <c r="AC137" s="516"/>
      <c r="AD137" s="516"/>
      <c r="AE137" s="516"/>
      <c r="AF137" s="692">
        <f>'Вышки туры'!H38</f>
        <v>630</v>
      </c>
      <c r="AG137" s="692"/>
      <c r="AH137" s="692"/>
      <c r="AI137" s="692"/>
      <c r="AJ137" s="692"/>
      <c r="AK137" s="692"/>
      <c r="AL137" s="692"/>
      <c r="AM137" s="551">
        <f t="shared" si="0"/>
        <v>630</v>
      </c>
      <c r="AN137" s="551"/>
      <c r="AO137" s="551"/>
      <c r="AP137" s="551"/>
      <c r="AQ137" s="551"/>
      <c r="AR137" s="551"/>
      <c r="AS137" s="551"/>
    </row>
    <row r="138" spans="1:46">
      <c r="A138" s="516">
        <v>4</v>
      </c>
      <c r="B138" s="516"/>
      <c r="C138" s="516"/>
      <c r="D138" s="516"/>
      <c r="E138" s="515" t="str">
        <f>'Вышки туры'!A39</f>
        <v>Гантель (1975мм)</v>
      </c>
      <c r="F138" s="515"/>
      <c r="G138" s="515"/>
      <c r="H138" s="515"/>
      <c r="I138" s="515"/>
      <c r="J138" s="515"/>
      <c r="K138" s="515"/>
      <c r="L138" s="515"/>
      <c r="M138" s="515"/>
      <c r="N138" s="515"/>
      <c r="O138" s="515"/>
      <c r="P138" s="515"/>
      <c r="Q138" s="515"/>
      <c r="R138" s="515"/>
      <c r="S138" s="515"/>
      <c r="T138" s="515"/>
      <c r="U138" s="515"/>
      <c r="V138" s="515"/>
      <c r="W138" s="515"/>
      <c r="X138" s="515"/>
      <c r="Y138" s="516">
        <f>'Вышки туры'!D39</f>
        <v>4</v>
      </c>
      <c r="Z138" s="516"/>
      <c r="AA138" s="516"/>
      <c r="AB138" s="516"/>
      <c r="AC138" s="516"/>
      <c r="AD138" s="516"/>
      <c r="AE138" s="516"/>
      <c r="AF138" s="692">
        <f>'Вышки туры'!H39</f>
        <v>860</v>
      </c>
      <c r="AG138" s="692"/>
      <c r="AH138" s="692"/>
      <c r="AI138" s="692"/>
      <c r="AJ138" s="692"/>
      <c r="AK138" s="692"/>
      <c r="AL138" s="692"/>
      <c r="AM138" s="551">
        <f t="shared" si="0"/>
        <v>3440</v>
      </c>
      <c r="AN138" s="551"/>
      <c r="AO138" s="551"/>
      <c r="AP138" s="551"/>
      <c r="AQ138" s="551"/>
      <c r="AR138" s="551"/>
      <c r="AS138" s="551"/>
    </row>
    <row r="139" spans="1:46">
      <c r="A139" s="516">
        <v>5</v>
      </c>
      <c r="B139" s="516"/>
      <c r="C139" s="516"/>
      <c r="D139" s="516"/>
      <c r="E139" s="515" t="str">
        <f>'Вышки туры'!A40</f>
        <v>Стяжка лестницы (840мм)</v>
      </c>
      <c r="F139" s="515"/>
      <c r="G139" s="515"/>
      <c r="H139" s="515"/>
      <c r="I139" s="515"/>
      <c r="J139" s="515"/>
      <c r="K139" s="515"/>
      <c r="L139" s="515"/>
      <c r="M139" s="515"/>
      <c r="N139" s="515"/>
      <c r="O139" s="515"/>
      <c r="P139" s="515"/>
      <c r="Q139" s="515"/>
      <c r="R139" s="515"/>
      <c r="S139" s="515"/>
      <c r="T139" s="515"/>
      <c r="U139" s="515"/>
      <c r="V139" s="515"/>
      <c r="W139" s="515"/>
      <c r="X139" s="515"/>
      <c r="Y139" s="516">
        <f>'Вышки туры'!D40</f>
        <v>24</v>
      </c>
      <c r="Z139" s="516"/>
      <c r="AA139" s="516"/>
      <c r="AB139" s="516"/>
      <c r="AC139" s="516"/>
      <c r="AD139" s="516"/>
      <c r="AE139" s="516"/>
      <c r="AF139" s="692">
        <f>'Вышки туры'!H40</f>
        <v>140</v>
      </c>
      <c r="AG139" s="692"/>
      <c r="AH139" s="692"/>
      <c r="AI139" s="692"/>
      <c r="AJ139" s="692"/>
      <c r="AK139" s="692"/>
      <c r="AL139" s="692"/>
      <c r="AM139" s="551">
        <f t="shared" si="0"/>
        <v>3360</v>
      </c>
      <c r="AN139" s="551"/>
      <c r="AO139" s="551"/>
      <c r="AP139" s="551"/>
      <c r="AQ139" s="551"/>
      <c r="AR139" s="551"/>
      <c r="AS139" s="551"/>
    </row>
    <row r="140" spans="1:46">
      <c r="A140" s="516">
        <v>6</v>
      </c>
      <c r="B140" s="516"/>
      <c r="C140" s="516"/>
      <c r="D140" s="516"/>
      <c r="E140" s="515" t="str">
        <f>'Вышки туры'!A41</f>
        <v>Стабилизатор в сборе (2400мм)</v>
      </c>
      <c r="F140" s="515"/>
      <c r="G140" s="515"/>
      <c r="H140" s="515"/>
      <c r="I140" s="515"/>
      <c r="J140" s="515"/>
      <c r="K140" s="515"/>
      <c r="L140" s="515"/>
      <c r="M140" s="515"/>
      <c r="N140" s="515"/>
      <c r="O140" s="515"/>
      <c r="P140" s="515"/>
      <c r="Q140" s="515"/>
      <c r="R140" s="515"/>
      <c r="S140" s="515"/>
      <c r="T140" s="515"/>
      <c r="U140" s="515"/>
      <c r="V140" s="515"/>
      <c r="W140" s="515"/>
      <c r="X140" s="515"/>
      <c r="Y140" s="516">
        <f>'Вышки туры'!D41</f>
        <v>0</v>
      </c>
      <c r="Z140" s="516"/>
      <c r="AA140" s="516"/>
      <c r="AB140" s="516"/>
      <c r="AC140" s="516"/>
      <c r="AD140" s="516"/>
      <c r="AE140" s="516"/>
      <c r="AF140" s="692">
        <f>'Вышки туры'!H41</f>
        <v>860</v>
      </c>
      <c r="AG140" s="692"/>
      <c r="AH140" s="692"/>
      <c r="AI140" s="692"/>
      <c r="AJ140" s="692"/>
      <c r="AK140" s="692"/>
      <c r="AL140" s="692"/>
      <c r="AM140" s="551">
        <f t="shared" si="0"/>
        <v>0</v>
      </c>
      <c r="AN140" s="551"/>
      <c r="AO140" s="551"/>
      <c r="AP140" s="551"/>
      <c r="AQ140" s="551"/>
      <c r="AR140" s="551"/>
      <c r="AS140" s="551"/>
    </row>
    <row r="141" spans="1:46">
      <c r="A141" s="516">
        <v>7</v>
      </c>
      <c r="B141" s="516"/>
      <c r="C141" s="516"/>
      <c r="D141" s="516"/>
      <c r="E141" s="693" t="str">
        <f>'Вышки туры'!A43</f>
        <v>Гантель ограждения (1965мм)</v>
      </c>
      <c r="F141" s="694"/>
      <c r="G141" s="694"/>
      <c r="H141" s="694"/>
      <c r="I141" s="694"/>
      <c r="J141" s="694"/>
      <c r="K141" s="694"/>
      <c r="L141" s="694"/>
      <c r="M141" s="694"/>
      <c r="N141" s="694"/>
      <c r="O141" s="694"/>
      <c r="P141" s="694"/>
      <c r="Q141" s="694"/>
      <c r="R141" s="694"/>
      <c r="S141" s="694"/>
      <c r="T141" s="694"/>
      <c r="U141" s="694"/>
      <c r="V141" s="694"/>
      <c r="W141" s="694"/>
      <c r="X141" s="695"/>
      <c r="Y141" s="583">
        <f>'Вышки туры'!D42</f>
        <v>2</v>
      </c>
      <c r="Z141" s="696"/>
      <c r="AA141" s="696"/>
      <c r="AB141" s="696"/>
      <c r="AC141" s="696"/>
      <c r="AD141" s="696"/>
      <c r="AE141" s="697"/>
      <c r="AF141" s="692">
        <f>'Вышки туры'!H39</f>
        <v>860</v>
      </c>
      <c r="AG141" s="692"/>
      <c r="AH141" s="692"/>
      <c r="AI141" s="692"/>
      <c r="AJ141" s="692"/>
      <c r="AK141" s="692"/>
      <c r="AL141" s="692"/>
      <c r="AM141" s="551">
        <f t="shared" ref="AM141:AM143" si="1">Y141*AF141</f>
        <v>1720</v>
      </c>
      <c r="AN141" s="551"/>
      <c r="AO141" s="551"/>
      <c r="AP141" s="551"/>
      <c r="AQ141" s="551"/>
      <c r="AR141" s="551"/>
      <c r="AS141" s="551"/>
    </row>
    <row r="142" spans="1:46">
      <c r="A142" s="516">
        <v>8</v>
      </c>
      <c r="B142" s="516"/>
      <c r="C142" s="516"/>
      <c r="D142" s="516"/>
      <c r="E142" s="693" t="str">
        <f>'Вышки туры'!A45</f>
        <v>Настил без люка (1995мм х 525мм)</v>
      </c>
      <c r="F142" s="694"/>
      <c r="G142" s="694"/>
      <c r="H142" s="694"/>
      <c r="I142" s="694"/>
      <c r="J142" s="694"/>
      <c r="K142" s="694"/>
      <c r="L142" s="694"/>
      <c r="M142" s="694"/>
      <c r="N142" s="694"/>
      <c r="O142" s="694"/>
      <c r="P142" s="694"/>
      <c r="Q142" s="694"/>
      <c r="R142" s="694"/>
      <c r="S142" s="694"/>
      <c r="T142" s="694"/>
      <c r="U142" s="694"/>
      <c r="V142" s="694"/>
      <c r="W142" s="694"/>
      <c r="X142" s="695"/>
      <c r="Y142" s="583">
        <f>'Вышки туры'!D45</f>
        <v>1</v>
      </c>
      <c r="Z142" s="696"/>
      <c r="AA142" s="696"/>
      <c r="AB142" s="696"/>
      <c r="AC142" s="696"/>
      <c r="AD142" s="696"/>
      <c r="AE142" s="697"/>
      <c r="AF142" s="692">
        <f>'Вышки туры'!H45</f>
        <v>4240</v>
      </c>
      <c r="AG142" s="692"/>
      <c r="AH142" s="692"/>
      <c r="AI142" s="692"/>
      <c r="AJ142" s="692"/>
      <c r="AK142" s="692"/>
      <c r="AL142" s="692"/>
      <c r="AM142" s="551">
        <f t="shared" si="1"/>
        <v>4240</v>
      </c>
      <c r="AN142" s="551"/>
      <c r="AO142" s="551"/>
      <c r="AP142" s="551"/>
      <c r="AQ142" s="551"/>
      <c r="AR142" s="551"/>
      <c r="AS142" s="551"/>
    </row>
    <row r="143" spans="1:46">
      <c r="A143" s="516">
        <v>9</v>
      </c>
      <c r="B143" s="516"/>
      <c r="C143" s="516"/>
      <c r="D143" s="516"/>
      <c r="E143" s="693" t="str">
        <f>'Вышки туры'!A46</f>
        <v>Настил с люком (1995мм х 525мм)</v>
      </c>
      <c r="F143" s="694"/>
      <c r="G143" s="694"/>
      <c r="H143" s="694"/>
      <c r="I143" s="694"/>
      <c r="J143" s="694"/>
      <c r="K143" s="694"/>
      <c r="L143" s="694"/>
      <c r="M143" s="694"/>
      <c r="N143" s="694"/>
      <c r="O143" s="694"/>
      <c r="P143" s="694"/>
      <c r="Q143" s="694"/>
      <c r="R143" s="694"/>
      <c r="S143" s="694"/>
      <c r="T143" s="694"/>
      <c r="U143" s="694"/>
      <c r="V143" s="694"/>
      <c r="W143" s="694"/>
      <c r="X143" s="695"/>
      <c r="Y143" s="583">
        <f>'Вышки туры'!D46</f>
        <v>1</v>
      </c>
      <c r="Z143" s="696"/>
      <c r="AA143" s="696"/>
      <c r="AB143" s="696"/>
      <c r="AC143" s="696"/>
      <c r="AD143" s="696"/>
      <c r="AE143" s="697"/>
      <c r="AF143" s="692">
        <f>'Вышки туры'!H46</f>
        <v>4410</v>
      </c>
      <c r="AG143" s="692"/>
      <c r="AH143" s="692"/>
      <c r="AI143" s="692"/>
      <c r="AJ143" s="692"/>
      <c r="AK143" s="692"/>
      <c r="AL143" s="692"/>
      <c r="AM143" s="551">
        <f t="shared" si="1"/>
        <v>4410</v>
      </c>
      <c r="AN143" s="551"/>
      <c r="AO143" s="551"/>
      <c r="AP143" s="551"/>
      <c r="AQ143" s="551"/>
      <c r="AR143" s="551"/>
      <c r="AS143" s="551"/>
    </row>
    <row r="144" spans="1:46">
      <c r="A144" s="516"/>
      <c r="B144" s="516"/>
      <c r="C144" s="516"/>
      <c r="D144" s="516"/>
      <c r="E144" s="518"/>
      <c r="F144" s="519"/>
      <c r="G144" s="519"/>
      <c r="H144" s="519"/>
      <c r="I144" s="519"/>
      <c r="J144" s="519"/>
      <c r="K144" s="519"/>
      <c r="L144" s="519"/>
      <c r="M144" s="519"/>
      <c r="N144" s="519"/>
      <c r="O144" s="519"/>
      <c r="P144" s="519"/>
      <c r="Q144" s="519"/>
      <c r="R144" s="519"/>
      <c r="S144" s="519"/>
      <c r="T144" s="519"/>
      <c r="U144" s="519"/>
      <c r="V144" s="519"/>
      <c r="W144" s="519"/>
      <c r="X144" s="519"/>
      <c r="Y144" s="516"/>
      <c r="Z144" s="516"/>
      <c r="AA144" s="516"/>
      <c r="AB144" s="516"/>
      <c r="AC144" s="516"/>
      <c r="AD144" s="516"/>
      <c r="AE144" s="516"/>
      <c r="AF144" s="582" t="s">
        <v>400</v>
      </c>
      <c r="AG144" s="582"/>
      <c r="AH144" s="582"/>
      <c r="AI144" s="582"/>
      <c r="AJ144" s="582"/>
      <c r="AK144" s="582"/>
      <c r="AL144" s="582"/>
      <c r="AM144" s="551">
        <f>SUM(AM135:AS143)</f>
        <v>33920</v>
      </c>
      <c r="AN144" s="551"/>
      <c r="AO144" s="551"/>
      <c r="AP144" s="551"/>
      <c r="AQ144" s="551"/>
      <c r="AR144" s="551"/>
      <c r="AS144" s="551"/>
    </row>
    <row r="145" spans="1:76">
      <c r="AV145" s="233">
        <f>'Вышки туры'!G2</f>
        <v>30</v>
      </c>
    </row>
    <row r="146" spans="1:76">
      <c r="A146" s="560" t="s">
        <v>401</v>
      </c>
      <c r="B146" s="560"/>
      <c r="C146" s="560"/>
      <c r="D146" s="560"/>
      <c r="E146" s="560"/>
      <c r="F146" s="560"/>
      <c r="G146" s="560"/>
      <c r="H146" s="560"/>
      <c r="I146" s="560"/>
      <c r="J146" s="560"/>
      <c r="K146" s="560"/>
      <c r="L146" s="560"/>
      <c r="M146" s="560"/>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60"/>
      <c r="AQ146" s="560"/>
      <c r="AR146" s="560"/>
      <c r="AS146" s="560"/>
    </row>
    <row r="147" spans="1:76">
      <c r="B147" s="218"/>
      <c r="C147" s="543" t="str">
        <f>CONCATENATE(AU147," (",AW147,") за каждые сутки аренды",BX155,", срок аренды до ",AV147," дней")</f>
        <v>240 (Двести сорок рублей 00 копеек) за каждые сутки аренды с учетом 20% НДС, срок аренды до 21 дней</v>
      </c>
      <c r="D147" s="543"/>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43"/>
      <c r="AQ147" s="543"/>
      <c r="AR147" s="543"/>
      <c r="AS147" s="543"/>
      <c r="AU147" s="234">
        <v>240</v>
      </c>
      <c r="AV147" s="207">
        <f>IF(AV148&gt;='Вышки туры'!Y8,'Вышки туры'!X8,IF('Договор аренды тур Юр'!AV148&gt;='Вышки туры'!X8,'Вышки туры'!W8,IF('Договор аренды тур Юр'!AV148&gt;='Вышки туры'!W8,'Вышки туры'!V8,IF('Договор аренды тур Юр'!AV148&gt;='Вышки туры'!V8,'Вышки туры'!U8,IF('Договор аренды тур Юр'!AV148&gt;='Вышки туры'!U8,'Вышки туры'!T8,IF('Договор аренды тур Юр'!AV148&gt;='Вышки туры'!T8,'Вышки туры'!T8,0))))))</f>
        <v>21</v>
      </c>
      <c r="AW147" s="194" t="str">
        <f>SUBSTITUTE(PROPER(INDEX(n_4,MID(TEXT(AU147,n0),1,1)+1)&amp;INDEX(n0x,MID(TEXT(AU147,n0),2,1)+1,MID(TEXT(AU147,n0),3,1)+1)&amp;IF(-MID(TEXT(AU147,n0),1,3),"миллиард"&amp;VLOOKUP(MID(TEXT(AU147,n0),3,1)*AND(MID(TEXT(AU147,n0),2,1)-1),мил,2),"")&amp;INDEX(n_4,MID(TEXT(AU147,n0),4,1)+1)&amp;INDEX(n0x,MID(TEXT(AU147,n0),5,1)+1,MID(TEXT(AU147,n0),6,1)+1)&amp;IF(-MID(TEXT(AU147,n0),4,3),"миллион"&amp;VLOOKUP(MID(TEXT(AU147,n0),6,1)*AND(MID(TEXT(AU147,n0),5,1)-1),мил,2),"")&amp;INDEX(n_4,MID(TEXT(AU147,n0),7,1)+1)&amp;INDEX(n1x,MID(TEXT(AU147,n0),8,1)+1,MID(TEXT(AU147,n0),9,1)+1)&amp;IF(-MID(TEXT(AU147,n0),7,3),VLOOKUP(MID(TEXT(AU147,n0),9,1)*AND(MID(TEXT(AU147,n0),8,1)-1),тыс,2),"")&amp;INDEX(n_4,MID(TEXT(AU147,n0),10,1)+1)&amp;INDEX(n0x,MID(TEXT(AU147,n0),11,1)+1,MID(TEXT(AU147,n0),12,1)+1)),"z"," ")&amp;IF(TRUNC(TEXT(AU147,n0)),"","Ноль ")&amp;"рубл"&amp;VLOOKUP(MOD(MAX(MOD(MID(TEXT(AU147,n0),11,2)-11,100),9),10),{0,"ь ";1,"я ";4,"ей "},2)&amp;RIGHT(TEXT(AU147,n0),2)&amp;" копе"&amp;VLOOKUP(MOD(MAX(MOD(RIGHT(TEXT(AU147,n0),2)-11,100),9),10),{0,"йка";1,"йки";4,"ек"},2)</f>
        <v>Двести сорок рублей 00 копеек</v>
      </c>
    </row>
    <row r="148" spans="1:76">
      <c r="B148" s="218"/>
      <c r="C148" s="543" t="str">
        <f>CONCATENATE(AU148," (",AW148,") за каждые сутки аренды",BX155,", срок аренды до ",AV148," дней")</f>
        <v>200 (Двести рублей 00 копеек) за каждые сутки аренды с учетом 20% НДС, срок аренды до 30 дней</v>
      </c>
      <c r="D148" s="543"/>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43"/>
      <c r="AQ148" s="543"/>
      <c r="AR148" s="543"/>
      <c r="AS148" s="543"/>
      <c r="AU148" s="235">
        <v>200</v>
      </c>
      <c r="AV148" s="207">
        <f>IF(AV145&gt;='Вышки туры'!Y8,'Вышки туры'!Y8,IF('Договор аренды тур Юр'!AV145&gt;='Вышки туры'!X8,'Вышки туры'!X8,IF('Договор аренды тур Юр'!AV145&gt;='Вышки туры'!W8,'Вышки туры'!W8,IF('Договор аренды тур Юр'!AV145&gt;='Вышки туры'!V8,'Вышки туры'!V8,IF('Договор аренды тур Юр'!AV145&gt;='Вышки туры'!U8,'Вышки туры'!U8,IF('Договор аренды тур Юр'!AV145&gt;='Вышки туры'!T8,'Вышки туры'!T8,AV145))))))</f>
        <v>30</v>
      </c>
      <c r="AW148" s="194" t="str">
        <f>SUBSTITUTE(PROPER(INDEX(n_4,MID(TEXT(AU148,n0),1,1)+1)&amp;INDEX(n0x,MID(TEXT(AU148,n0),2,1)+1,MID(TEXT(AU148,n0),3,1)+1)&amp;IF(-MID(TEXT(AU148,n0),1,3),"миллиард"&amp;VLOOKUP(MID(TEXT(AU148,n0),3,1)*AND(MID(TEXT(AU148,n0),2,1)-1),мил,2),"")&amp;INDEX(n_4,MID(TEXT(AU148,n0),4,1)+1)&amp;INDEX(n0x,MID(TEXT(AU148,n0),5,1)+1,MID(TEXT(AU148,n0),6,1)+1)&amp;IF(-MID(TEXT(AU148,n0),4,3),"миллион"&amp;VLOOKUP(MID(TEXT(AU148,n0),6,1)*AND(MID(TEXT(AU148,n0),5,1)-1),мил,2),"")&amp;INDEX(n_4,MID(TEXT(AU148,n0),7,1)+1)&amp;INDEX(n1x,MID(TEXT(AU148,n0),8,1)+1,MID(TEXT(AU148,n0),9,1)+1)&amp;IF(-MID(TEXT(AU148,n0),7,3),VLOOKUP(MID(TEXT(AU148,n0),9,1)*AND(MID(TEXT(AU148,n0),8,1)-1),тыс,2),"")&amp;INDEX(n_4,MID(TEXT(AU148,n0),10,1)+1)&amp;INDEX(n0x,MID(TEXT(AU148,n0),11,1)+1,MID(TEXT(AU148,n0),12,1)+1)),"z"," ")&amp;IF(TRUNC(TEXT(AU148,n0)),"","Ноль ")&amp;"рубл"&amp;VLOOKUP(MOD(MAX(MOD(MID(TEXT(AU148,n0),11,2)-11,100),9),10),{0,"ь ";1,"я ";4,"ей "},2)&amp;RIGHT(TEXT(AU148,n0),2)&amp;" копе"&amp;VLOOKUP(MOD(MAX(MOD(RIGHT(TEXT(AU148,n0),2)-11,100),9),10),{0,"йка";1,"йки";4,"ек"},2)</f>
        <v>Двести рублей 00 копеек</v>
      </c>
    </row>
    <row r="149" spans="1:76" ht="28.5" customHeight="1">
      <c r="B149" s="218"/>
      <c r="C149" s="561" t="str">
        <f>CONCATENATE('Вышки туры'!B5," (",AW24,") за каждые сутки аренды",BX155,", срок аренды от ",AV148," дней")</f>
        <v>156 (Сто пятьдесят шесть рублей 00 копеек) за каждые сутки аренды с учетом 20% НДС, срок аренды от 30 дней</v>
      </c>
      <c r="D149" s="561"/>
      <c r="E149" s="561"/>
      <c r="F149" s="561"/>
      <c r="G149" s="561"/>
      <c r="H149" s="561"/>
      <c r="I149" s="561"/>
      <c r="J149" s="561"/>
      <c r="K149" s="561"/>
      <c r="L149" s="561"/>
      <c r="M149" s="561"/>
      <c r="N149" s="561"/>
      <c r="O149" s="561"/>
      <c r="P149" s="561"/>
      <c r="Q149" s="561"/>
      <c r="R149" s="561"/>
      <c r="S149" s="561"/>
      <c r="T149" s="561"/>
      <c r="U149" s="561"/>
      <c r="V149" s="561"/>
      <c r="W149" s="561"/>
      <c r="X149" s="561"/>
      <c r="Y149" s="561"/>
      <c r="Z149" s="561"/>
      <c r="AA149" s="561"/>
      <c r="AB149" s="561"/>
      <c r="AC149" s="561"/>
      <c r="AD149" s="561"/>
      <c r="AE149" s="561"/>
      <c r="AF149" s="561"/>
      <c r="AG149" s="561"/>
      <c r="AH149" s="561"/>
      <c r="AI149" s="561"/>
      <c r="AJ149" s="561"/>
      <c r="AK149" s="561"/>
      <c r="AL149" s="561"/>
      <c r="AM149" s="561"/>
      <c r="AN149" s="561"/>
      <c r="AO149" s="561"/>
      <c r="AP149" s="561"/>
      <c r="AQ149" s="561"/>
      <c r="AR149" s="561"/>
      <c r="AS149" s="561"/>
      <c r="AU149" s="276">
        <v>2</v>
      </c>
    </row>
    <row r="150" spans="1:76" ht="15" customHeight="1">
      <c r="A150" s="562" t="str">
        <f>CONCATENATE("3. Срок аренды составляет ",'Вышки туры'!G2," суток с момента подписания акта приема-передачи оборудования")</f>
        <v>3. Срок аренды составляет 30 суток с момента подписания акта приема-передачи оборудования</v>
      </c>
      <c r="B150" s="562"/>
      <c r="C150" s="562"/>
      <c r="D150" s="562"/>
      <c r="E150" s="562"/>
      <c r="F150" s="562"/>
      <c r="G150" s="562"/>
      <c r="H150" s="562"/>
      <c r="I150" s="562"/>
      <c r="J150" s="562"/>
      <c r="K150" s="562"/>
      <c r="L150" s="562"/>
      <c r="M150" s="562"/>
      <c r="N150" s="562"/>
      <c r="O150" s="562"/>
      <c r="P150" s="562"/>
      <c r="Q150" s="562"/>
      <c r="R150" s="562"/>
      <c r="S150" s="562"/>
      <c r="T150" s="562"/>
      <c r="U150" s="562"/>
      <c r="V150" s="562"/>
      <c r="W150" s="562"/>
      <c r="X150" s="562"/>
      <c r="Y150" s="562"/>
      <c r="Z150" s="562"/>
      <c r="AA150" s="562"/>
      <c r="AB150" s="562"/>
      <c r="AC150" s="562"/>
      <c r="AD150" s="562"/>
      <c r="AE150" s="562"/>
      <c r="AF150" s="562"/>
      <c r="AG150" s="562"/>
      <c r="AH150" s="562"/>
      <c r="AI150" s="562"/>
      <c r="AJ150" s="562"/>
      <c r="AK150" s="562"/>
      <c r="AL150" s="562"/>
      <c r="AM150" s="562"/>
      <c r="AN150" s="562"/>
      <c r="AO150" s="562"/>
      <c r="AP150" s="562"/>
      <c r="AQ150" s="562"/>
      <c r="AR150" s="562"/>
      <c r="AS150" s="562"/>
      <c r="AU150" s="277">
        <f ca="1">TODAY()+AU149</f>
        <v>45017</v>
      </c>
      <c r="AV150" s="196">
        <f ca="1">AU150+'Вышки туры'!G2</f>
        <v>45047</v>
      </c>
    </row>
    <row r="151" spans="1:76" ht="15" customHeight="1">
      <c r="A151" s="543" t="s">
        <v>437</v>
      </c>
      <c r="B151" s="543"/>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85">
        <f>'Вышки туры'!$D5</f>
        <v>4680</v>
      </c>
      <c r="AN151" s="585"/>
      <c r="AO151" s="585"/>
      <c r="AP151" s="585"/>
      <c r="AQ151" s="585"/>
      <c r="AR151" s="585"/>
      <c r="AS151" s="585"/>
    </row>
    <row r="152" spans="1:76" ht="15" customHeight="1">
      <c r="A152" s="562" t="s">
        <v>438</v>
      </c>
      <c r="B152" s="562"/>
      <c r="C152" s="562"/>
      <c r="D152" s="562"/>
      <c r="E152" s="562"/>
      <c r="F152" s="562"/>
      <c r="G152" s="562"/>
      <c r="H152" s="562"/>
      <c r="I152" s="562"/>
      <c r="J152" s="562"/>
      <c r="K152" s="562"/>
      <c r="L152" s="562"/>
      <c r="M152" s="562"/>
      <c r="N152" s="562"/>
      <c r="O152" s="562"/>
      <c r="P152" s="562"/>
      <c r="Q152" s="562"/>
      <c r="R152" s="562"/>
      <c r="S152" s="562"/>
      <c r="T152" s="562"/>
      <c r="U152" s="562"/>
      <c r="V152" s="562"/>
      <c r="W152" s="562"/>
      <c r="X152" s="562"/>
      <c r="Y152" s="562"/>
      <c r="Z152" s="562"/>
      <c r="AA152" s="562"/>
      <c r="AB152" s="562"/>
      <c r="AC152" s="562"/>
      <c r="AD152" s="562"/>
      <c r="AE152" s="562"/>
      <c r="AF152" s="562"/>
      <c r="AG152" s="562"/>
      <c r="AH152" s="562"/>
      <c r="AI152" s="562"/>
      <c r="AJ152" s="562"/>
      <c r="AK152" s="562"/>
      <c r="AL152" s="562"/>
      <c r="AM152" s="578">
        <f>'Вышки туры'!G8</f>
        <v>2090</v>
      </c>
      <c r="AN152" s="578"/>
      <c r="AO152" s="578"/>
      <c r="AP152" s="578"/>
      <c r="AQ152" s="578"/>
      <c r="AR152" s="578"/>
      <c r="AS152" s="578"/>
    </row>
    <row r="153" spans="1:76" ht="15.75" customHeight="1">
      <c r="A153" s="564" t="str">
        <f>CONCATENATE("6.1. Стоимость доставки до адреса: ",ДляДоговора!B18,", составит ")</f>
        <v xml:space="preserve">6.1. Стоимость доставки до адреса: , составит </v>
      </c>
      <c r="B153" s="564"/>
      <c r="C153" s="564"/>
      <c r="D153" s="564"/>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c r="AA153" s="564"/>
      <c r="AB153" s="564"/>
      <c r="AC153" s="564"/>
      <c r="AD153" s="564"/>
      <c r="AE153" s="564"/>
      <c r="AF153" s="564"/>
      <c r="AG153" s="564"/>
      <c r="AH153" s="564"/>
      <c r="AI153" s="564"/>
      <c r="AJ153" s="564"/>
      <c r="AK153" s="564"/>
      <c r="AL153" s="564"/>
      <c r="AM153" s="563">
        <f>'Вышки туры'!G4</f>
        <v>0</v>
      </c>
      <c r="AN153" s="563"/>
      <c r="AO153" s="563"/>
      <c r="AP153" s="563"/>
      <c r="AQ153" s="563"/>
      <c r="AR153" s="563"/>
      <c r="AS153" s="563"/>
    </row>
    <row r="154" spans="1:76" ht="15.75" customHeight="1">
      <c r="A154" s="564" t="str">
        <f>CONCATENATE("6.2. Стоимость вывоза с адреса: ",ДляДоговора!B18," , составит ")</f>
        <v xml:space="preserve">6.2. Стоимость вывоза с адреса:  , составит </v>
      </c>
      <c r="B154" s="564"/>
      <c r="C154" s="564"/>
      <c r="D154" s="564"/>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c r="AA154" s="564"/>
      <c r="AB154" s="564"/>
      <c r="AC154" s="564"/>
      <c r="AD154" s="564"/>
      <c r="AE154" s="564"/>
      <c r="AF154" s="564"/>
      <c r="AG154" s="564"/>
      <c r="AH154" s="564"/>
      <c r="AI154" s="564"/>
      <c r="AJ154" s="564"/>
      <c r="AK154" s="564"/>
      <c r="AL154" s="564"/>
      <c r="AM154" s="563">
        <f>'Вышки туры'!G4</f>
        <v>0</v>
      </c>
      <c r="AN154" s="563"/>
      <c r="AO154" s="563"/>
      <c r="AP154" s="563"/>
      <c r="AQ154" s="563"/>
      <c r="AR154" s="563"/>
      <c r="AS154" s="563"/>
    </row>
    <row r="155" spans="1:76" ht="15" customHeight="1">
      <c r="A155" s="562" t="s">
        <v>539</v>
      </c>
      <c r="B155" s="562"/>
      <c r="C155" s="562"/>
      <c r="D155" s="562"/>
      <c r="E155" s="562"/>
      <c r="F155" s="562"/>
      <c r="G155" s="562"/>
      <c r="H155" s="562"/>
      <c r="I155" s="562"/>
      <c r="J155" s="562"/>
      <c r="K155" s="562"/>
      <c r="L155" s="562"/>
      <c r="M155" s="562"/>
      <c r="N155" s="562"/>
      <c r="O155" s="562"/>
      <c r="P155" s="562"/>
      <c r="Q155" s="562"/>
      <c r="R155" s="562"/>
      <c r="S155" s="562"/>
      <c r="T155" s="562"/>
      <c r="U155" s="562"/>
      <c r="V155" s="562"/>
      <c r="W155" s="562"/>
      <c r="X155" s="562"/>
      <c r="Y155" s="562"/>
      <c r="Z155" s="562"/>
      <c r="AA155" s="562"/>
      <c r="AB155" s="562"/>
      <c r="AC155" s="562"/>
      <c r="AD155" s="562"/>
      <c r="AE155" s="562"/>
      <c r="AF155" s="562"/>
      <c r="AG155" s="562"/>
      <c r="AH155" s="562"/>
      <c r="AI155" s="562"/>
      <c r="AJ155" s="242"/>
      <c r="AK155" s="242"/>
      <c r="AL155" s="242"/>
      <c r="AM155" s="563">
        <f>'Вышки туры'!G6</f>
        <v>6770</v>
      </c>
      <c r="AN155" s="563"/>
      <c r="AO155" s="563"/>
      <c r="AP155" s="563"/>
      <c r="AQ155" s="563"/>
      <c r="AR155" s="563"/>
      <c r="AS155" s="563"/>
      <c r="BX155" s="93" t="str">
        <f>IF(AW20="с НДС 20%"," с учетом 20% НДС","")</f>
        <v xml:space="preserve"> с учетом 20% НДС</v>
      </c>
    </row>
    <row r="156" spans="1:76" ht="15" customHeight="1">
      <c r="A156" s="565" t="s">
        <v>540</v>
      </c>
      <c r="B156" s="565"/>
      <c r="C156" s="565"/>
      <c r="D156" s="565"/>
      <c r="E156" s="565"/>
      <c r="F156" s="565"/>
      <c r="G156" s="565"/>
      <c r="H156" s="565"/>
      <c r="I156" s="565"/>
      <c r="J156" s="565"/>
      <c r="K156" s="565"/>
      <c r="L156" s="565"/>
      <c r="M156" s="565"/>
      <c r="N156" s="565"/>
      <c r="O156" s="565"/>
      <c r="P156" s="565"/>
      <c r="Q156" s="565"/>
      <c r="R156" s="565"/>
      <c r="S156" s="565"/>
      <c r="T156" s="565"/>
      <c r="U156" s="565"/>
      <c r="V156" s="565"/>
      <c r="W156" s="565"/>
      <c r="X156" s="565"/>
      <c r="Y156" s="565"/>
      <c r="Z156" s="565"/>
      <c r="AA156" s="565"/>
      <c r="AB156" s="565"/>
      <c r="AC156" s="565"/>
      <c r="AD156" s="565"/>
      <c r="AE156" s="565"/>
      <c r="AF156" s="565"/>
      <c r="AG156" s="565"/>
      <c r="AH156" s="565"/>
      <c r="AI156" s="565"/>
      <c r="AJ156" s="565"/>
      <c r="AK156" s="565"/>
      <c r="AL156" s="565"/>
      <c r="AM156" s="565"/>
      <c r="AN156" s="565"/>
      <c r="AO156" s="565"/>
      <c r="AP156" s="565"/>
      <c r="AQ156" s="565"/>
      <c r="AR156" s="565"/>
      <c r="AS156" s="565"/>
    </row>
    <row r="157" spans="1:76" ht="30" customHeight="1">
      <c r="A157" s="564" t="s">
        <v>402</v>
      </c>
      <c r="B157" s="564"/>
      <c r="C157" s="564"/>
      <c r="D157" s="564"/>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c r="AA157" s="564"/>
      <c r="AB157" s="564"/>
      <c r="AC157" s="564"/>
      <c r="AD157" s="564"/>
      <c r="AE157" s="564"/>
      <c r="AF157" s="564"/>
      <c r="AG157" s="564"/>
      <c r="AH157" s="564"/>
      <c r="AI157" s="564"/>
      <c r="AJ157" s="564"/>
      <c r="AK157" s="564"/>
      <c r="AL157" s="564"/>
      <c r="AM157" s="564"/>
      <c r="AN157" s="564"/>
      <c r="AO157" s="564"/>
      <c r="AP157" s="564"/>
      <c r="AQ157" s="564"/>
      <c r="AR157" s="564"/>
      <c r="AS157" s="564"/>
    </row>
    <row r="159" spans="1:76">
      <c r="A159" s="517" t="s">
        <v>403</v>
      </c>
      <c r="B159" s="517"/>
      <c r="C159" s="517"/>
      <c r="D159" s="517"/>
      <c r="E159" s="517"/>
      <c r="F159" s="517"/>
      <c r="G159" s="517"/>
      <c r="H159" s="517"/>
      <c r="I159" s="517"/>
      <c r="J159" s="517"/>
      <c r="K159" s="517"/>
      <c r="L159" s="517"/>
      <c r="M159" s="517"/>
      <c r="N159" s="517"/>
      <c r="O159" s="517"/>
      <c r="P159" s="517"/>
      <c r="Q159" s="517"/>
      <c r="R159" s="517"/>
      <c r="S159" s="517"/>
      <c r="T159" s="517"/>
      <c r="U159" s="517"/>
      <c r="V159" s="517"/>
      <c r="W159" s="517"/>
      <c r="X159" s="517"/>
      <c r="Y159" s="517"/>
      <c r="Z159" s="517"/>
      <c r="AA159" s="517"/>
      <c r="AB159" s="517"/>
      <c r="AC159" s="517"/>
      <c r="AD159" s="517"/>
      <c r="AE159" s="517"/>
      <c r="AF159" s="517"/>
      <c r="AG159" s="517"/>
      <c r="AH159" s="517"/>
      <c r="AI159" s="517"/>
      <c r="AJ159" s="517"/>
      <c r="AK159" s="517"/>
      <c r="AL159" s="517"/>
      <c r="AM159" s="517"/>
      <c r="AN159" s="517"/>
      <c r="AO159" s="517"/>
      <c r="AP159" s="517"/>
      <c r="AQ159" s="517"/>
      <c r="AR159" s="517"/>
      <c r="AS159" s="517"/>
      <c r="AT159" s="219"/>
    </row>
    <row r="160" spans="1:76">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c r="AA160" s="219"/>
      <c r="AB160" s="219"/>
      <c r="AC160" s="219"/>
      <c r="AD160" s="219"/>
      <c r="AE160" s="219"/>
      <c r="AF160" s="219"/>
      <c r="AG160" s="219"/>
      <c r="AH160" s="219"/>
      <c r="AI160" s="219"/>
      <c r="AJ160" s="219"/>
      <c r="AK160" s="219"/>
      <c r="AL160" s="219"/>
      <c r="AM160" s="219"/>
      <c r="AN160" s="219"/>
      <c r="AO160" s="219"/>
      <c r="AP160" s="219"/>
      <c r="AQ160" s="219"/>
      <c r="AR160" s="219"/>
      <c r="AS160" s="219"/>
      <c r="AT160" s="219"/>
    </row>
    <row r="161" spans="1:46">
      <c r="A161" s="219"/>
      <c r="B161" s="94" t="s">
        <v>116</v>
      </c>
      <c r="AF161" s="94" t="s">
        <v>117</v>
      </c>
      <c r="AQ161" s="219"/>
      <c r="AR161" s="219"/>
      <c r="AS161" s="219"/>
      <c r="AT161" s="219"/>
    </row>
    <row r="162" spans="1:46" ht="15.75" customHeight="1">
      <c r="A162" s="219"/>
      <c r="AQ162" s="219"/>
      <c r="AR162" s="219"/>
      <c r="AS162" s="219"/>
      <c r="AT162" s="219"/>
    </row>
    <row r="163" spans="1:46">
      <c r="A163" s="219"/>
      <c r="B163" s="97"/>
      <c r="C163" s="97"/>
      <c r="D163" s="97"/>
      <c r="E163" s="97"/>
      <c r="F163" s="97"/>
      <c r="G163" s="97"/>
      <c r="H163" s="97"/>
      <c r="I163" s="97"/>
      <c r="J163" s="97"/>
      <c r="K163" s="97"/>
      <c r="L163" s="97"/>
      <c r="M163" s="93" t="str">
        <f>BX4</f>
        <v>А.П. Выборных</v>
      </c>
      <c r="AF163" s="97"/>
      <c r="AG163" s="97"/>
      <c r="AH163" s="97"/>
      <c r="AI163" s="97"/>
      <c r="AJ163" s="97"/>
      <c r="AK163" s="97"/>
      <c r="AL163" s="97"/>
      <c r="AM163" s="97"/>
      <c r="AN163" s="97"/>
      <c r="AO163" s="97"/>
      <c r="AP163" s="97"/>
      <c r="AQ163" s="219"/>
      <c r="AR163" s="219"/>
      <c r="AS163" s="219"/>
      <c r="AT163" s="219"/>
    </row>
    <row r="164" spans="1:46">
      <c r="A164" s="219"/>
      <c r="AQ164" s="219"/>
      <c r="AR164" s="219"/>
      <c r="AS164" s="219"/>
      <c r="AT164" s="219"/>
    </row>
    <row r="165" spans="1:46">
      <c r="B165" s="94" t="s">
        <v>118</v>
      </c>
      <c r="AF165" s="94" t="s">
        <v>118</v>
      </c>
    </row>
    <row r="166" spans="1:46">
      <c r="A166" s="544" t="str">
        <f ca="1">CONCATENATE("Приложение №2 к договору аренды оборудования №",ДляДоговора!B2)</f>
        <v>Приложение №2 к договору аренды оборудования №30/03-А(23)</v>
      </c>
      <c r="B166" s="544"/>
      <c r="C166" s="544"/>
      <c r="D166" s="544"/>
      <c r="E166" s="544"/>
      <c r="F166" s="544"/>
      <c r="G166" s="544"/>
      <c r="H166" s="544"/>
      <c r="I166" s="544"/>
      <c r="J166" s="544"/>
      <c r="K166" s="544"/>
      <c r="L166" s="544"/>
      <c r="M166" s="544"/>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44"/>
      <c r="AQ166" s="544"/>
      <c r="AR166" s="544"/>
      <c r="AS166" s="544"/>
    </row>
    <row r="167" spans="1:46">
      <c r="AL167" s="197" t="str">
        <f ca="1">CONCATENATE("от ",ДляДоговора!B3)</f>
        <v>от 30 марта 2023г.</v>
      </c>
    </row>
    <row r="168" spans="1:46">
      <c r="V168" s="88"/>
    </row>
    <row r="169" spans="1:46">
      <c r="A169" s="545" t="str">
        <f>CONCATENATE("АКТ №",AV127," ПРИЕМА-ПЕРЕДАЧИ ОБОРУДОВАНИЯ В АРЕНДУ")</f>
        <v>АКТ №1 ПРИЕМА-ПЕРЕДАЧИ ОБОРУДОВАНИЯ В АРЕНДУ</v>
      </c>
      <c r="B169" s="545"/>
      <c r="C169" s="545"/>
      <c r="D169" s="545"/>
      <c r="E169" s="545"/>
      <c r="F169" s="545"/>
      <c r="G169" s="545"/>
      <c r="H169" s="545"/>
      <c r="I169" s="545"/>
      <c r="J169" s="545"/>
      <c r="K169" s="545"/>
      <c r="L169" s="545"/>
      <c r="M169" s="545"/>
      <c r="N169" s="545"/>
      <c r="O169" s="545"/>
      <c r="P169" s="545"/>
      <c r="Q169" s="545"/>
      <c r="R169" s="545"/>
      <c r="S169" s="545"/>
      <c r="T169" s="545"/>
      <c r="U169" s="545"/>
      <c r="V169" s="545"/>
      <c r="W169" s="545"/>
      <c r="X169" s="545"/>
      <c r="Y169" s="545"/>
      <c r="Z169" s="545"/>
      <c r="AA169" s="545"/>
      <c r="AB169" s="545"/>
      <c r="AC169" s="545"/>
      <c r="AD169" s="545"/>
      <c r="AE169" s="545"/>
      <c r="AF169" s="545"/>
      <c r="AG169" s="545"/>
      <c r="AH169" s="545"/>
      <c r="AI169" s="545"/>
      <c r="AJ169" s="545"/>
      <c r="AK169" s="545"/>
      <c r="AL169" s="545"/>
      <c r="AM169" s="545"/>
      <c r="AN169" s="545"/>
      <c r="AO169" s="545"/>
      <c r="AP169" s="545"/>
      <c r="AQ169" s="545"/>
      <c r="AR169" s="545"/>
      <c r="AS169" s="545"/>
    </row>
    <row r="170" spans="1:46">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c r="AF170" s="230"/>
      <c r="AG170" s="230"/>
      <c r="AH170" s="230"/>
      <c r="AI170" s="230"/>
      <c r="AJ170" s="230"/>
      <c r="AK170" s="230"/>
      <c r="AL170" s="230"/>
      <c r="AM170" s="230"/>
      <c r="AN170" s="230"/>
      <c r="AO170" s="230"/>
      <c r="AP170" s="230"/>
      <c r="AQ170" s="230"/>
      <c r="AR170" s="230"/>
      <c r="AS170" s="230"/>
    </row>
    <row r="171" spans="1:46">
      <c r="A171" s="94" t="str">
        <f>ДляДоговора!B22</f>
        <v>г. Екатеринбург</v>
      </c>
      <c r="AH171" s="93" t="str">
        <f ca="1">CONCATENATE("«_____» _________ ",ДляДоговора!E4,"г.")</f>
        <v>«_____» _________ 2023г.</v>
      </c>
    </row>
    <row r="173" spans="1:46" ht="75" customHeight="1">
      <c r="A173" s="546" t="str">
        <f>CONCATENATE("ООО «УПСК», именуемое в дальнейшем «Арендодатель», в лице ",BX3," действующего на основании Устава, с одной стороны, и ",ДляДоговора!B4,", именуемое в дальнейшем «Арендатор», в лице ",ДляДоговора!B5," ",ДляДоговора!B6,", действующего на основании ",ДляДоговора!B7,ДляДоговора!B8,", с другой стороны, составили настоящий Акт приема-передачи о нижеследующем:")</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составили настоящий Акт приема-передачи о нижеследующем:</v>
      </c>
      <c r="B173" s="546"/>
      <c r="C173" s="546"/>
      <c r="D173" s="546"/>
      <c r="E173" s="546"/>
      <c r="F173" s="546"/>
      <c r="G173" s="546"/>
      <c r="H173" s="546"/>
      <c r="I173" s="546"/>
      <c r="J173" s="546"/>
      <c r="K173" s="546"/>
      <c r="L173" s="546"/>
      <c r="M173" s="546"/>
      <c r="N173" s="546"/>
      <c r="O173" s="546"/>
      <c r="P173" s="546"/>
      <c r="Q173" s="546"/>
      <c r="R173" s="546"/>
      <c r="S173" s="546"/>
      <c r="T173" s="546"/>
      <c r="U173" s="546"/>
      <c r="V173" s="546"/>
      <c r="W173" s="546"/>
      <c r="X173" s="546"/>
      <c r="Y173" s="546"/>
      <c r="Z173" s="546"/>
      <c r="AA173" s="546"/>
      <c r="AB173" s="546"/>
      <c r="AC173" s="546"/>
      <c r="AD173" s="546"/>
      <c r="AE173" s="546"/>
      <c r="AF173" s="546"/>
      <c r="AG173" s="546"/>
      <c r="AH173" s="546"/>
      <c r="AI173" s="546"/>
      <c r="AJ173" s="546"/>
      <c r="AK173" s="546"/>
      <c r="AL173" s="546"/>
      <c r="AM173" s="546"/>
      <c r="AN173" s="546"/>
      <c r="AO173" s="546"/>
      <c r="AP173" s="546"/>
      <c r="AQ173" s="546"/>
      <c r="AR173" s="546"/>
      <c r="AS173" s="546"/>
    </row>
    <row r="174" spans="1:46" ht="45" customHeight="1">
      <c r="A174" s="546" t="str">
        <f ca="1">CONCATENATE("1. В соответствии с заключенным Сторонами Договором аренды оборудования №",ДляДоговора!B2," от ",ДляДоговора!B3," Арендодатель передал во временное владение и пользование (аренду) Арендатору, а Арендатор принял имущество в следующем составе, комплектности, количестве и стоимостью:")</f>
        <v>1. В соответствии с заключенным Сторонами Договором аренды оборудования №30/03-А(23) от 30 марта 2023г. Арендодатель передал во временное владение и пользование (аренду) Арендатору, а Арендатор принял имущество в следующем составе, комплектности, количестве и стоимостью:</v>
      </c>
      <c r="B174" s="546"/>
      <c r="C174" s="546"/>
      <c r="D174" s="546"/>
      <c r="E174" s="546"/>
      <c r="F174" s="546"/>
      <c r="G174" s="546"/>
      <c r="H174" s="546"/>
      <c r="I174" s="546"/>
      <c r="J174" s="546"/>
      <c r="K174" s="546"/>
      <c r="L174" s="546"/>
      <c r="M174" s="546"/>
      <c r="N174" s="546"/>
      <c r="O174" s="546"/>
      <c r="P174" s="546"/>
      <c r="Q174" s="546"/>
      <c r="R174" s="546"/>
      <c r="S174" s="546"/>
      <c r="T174" s="546"/>
      <c r="U174" s="546"/>
      <c r="V174" s="546"/>
      <c r="W174" s="546"/>
      <c r="X174" s="546"/>
      <c r="Y174" s="546"/>
      <c r="Z174" s="546"/>
      <c r="AA174" s="546"/>
      <c r="AB174" s="546"/>
      <c r="AC174" s="546"/>
      <c r="AD174" s="546"/>
      <c r="AE174" s="546"/>
      <c r="AF174" s="546"/>
      <c r="AG174" s="546"/>
      <c r="AH174" s="546"/>
      <c r="AI174" s="546"/>
      <c r="AJ174" s="546"/>
      <c r="AK174" s="546"/>
      <c r="AL174" s="546"/>
      <c r="AM174" s="546"/>
      <c r="AN174" s="546"/>
      <c r="AO174" s="546"/>
      <c r="AP174" s="546"/>
      <c r="AQ174" s="546"/>
      <c r="AR174" s="546"/>
      <c r="AS174" s="546"/>
      <c r="AT174" s="222"/>
    </row>
    <row r="175" spans="1:46">
      <c r="A175" s="217"/>
      <c r="B175" s="217"/>
      <c r="C175" s="217"/>
      <c r="D175" s="217"/>
      <c r="E175" s="217"/>
      <c r="F175" s="217"/>
      <c r="G175" s="217"/>
      <c r="H175" s="217"/>
      <c r="I175" s="217"/>
      <c r="J175" s="217"/>
      <c r="K175" s="217"/>
      <c r="L175" s="217"/>
      <c r="M175" s="217"/>
      <c r="N175" s="217"/>
      <c r="O175" s="217"/>
      <c r="P175" s="217"/>
      <c r="Q175" s="217"/>
      <c r="R175" s="217"/>
      <c r="S175" s="217"/>
      <c r="T175" s="217"/>
      <c r="U175" s="217"/>
      <c r="V175" s="217"/>
      <c r="W175" s="217"/>
      <c r="X175" s="217"/>
      <c r="Y175" s="217"/>
      <c r="Z175" s="217"/>
      <c r="AA175" s="217"/>
      <c r="AB175" s="217"/>
      <c r="AC175" s="217"/>
      <c r="AD175" s="217"/>
      <c r="AE175" s="217"/>
      <c r="AF175" s="217"/>
      <c r="AG175" s="217"/>
      <c r="AH175" s="217"/>
      <c r="AI175" s="217"/>
      <c r="AJ175" s="217"/>
      <c r="AK175" s="217"/>
      <c r="AL175" s="217"/>
      <c r="AM175" s="217"/>
      <c r="AN175" s="217"/>
      <c r="AO175" s="217"/>
      <c r="AP175" s="217"/>
      <c r="AQ175" s="217"/>
      <c r="AR175" s="217"/>
      <c r="AS175" s="217"/>
      <c r="AT175" s="217"/>
    </row>
    <row r="176" spans="1:46" ht="30" customHeight="1">
      <c r="A176" s="510" t="s">
        <v>121</v>
      </c>
      <c r="B176" s="510"/>
      <c r="C176" s="510"/>
      <c r="D176" s="510"/>
      <c r="E176" s="510" t="s">
        <v>31</v>
      </c>
      <c r="F176" s="510"/>
      <c r="G176" s="510"/>
      <c r="H176" s="510"/>
      <c r="I176" s="510"/>
      <c r="J176" s="510"/>
      <c r="K176" s="510"/>
      <c r="L176" s="510"/>
      <c r="M176" s="510"/>
      <c r="N176" s="510"/>
      <c r="O176" s="510"/>
      <c r="P176" s="510"/>
      <c r="Q176" s="510"/>
      <c r="R176" s="510"/>
      <c r="S176" s="510"/>
      <c r="T176" s="510"/>
      <c r="U176" s="510"/>
      <c r="V176" s="510"/>
      <c r="W176" s="510"/>
      <c r="X176" s="510"/>
      <c r="Y176" s="507" t="s">
        <v>123</v>
      </c>
      <c r="Z176" s="507"/>
      <c r="AA176" s="507"/>
      <c r="AB176" s="507"/>
      <c r="AC176" s="507"/>
      <c r="AD176" s="507"/>
      <c r="AE176" s="507"/>
      <c r="AF176" s="507" t="s">
        <v>122</v>
      </c>
      <c r="AG176" s="507"/>
      <c r="AH176" s="507"/>
      <c r="AI176" s="507"/>
      <c r="AJ176" s="507"/>
      <c r="AK176" s="507"/>
      <c r="AL176" s="507"/>
      <c r="AM176" s="510" t="s">
        <v>34</v>
      </c>
      <c r="AN176" s="510"/>
      <c r="AO176" s="510"/>
      <c r="AP176" s="510"/>
      <c r="AQ176" s="510"/>
      <c r="AR176" s="510"/>
      <c r="AS176" s="510"/>
    </row>
    <row r="177" spans="1:48">
      <c r="A177" s="516">
        <v>1</v>
      </c>
      <c r="B177" s="516"/>
      <c r="C177" s="516"/>
      <c r="D177" s="516"/>
      <c r="E177" s="515" t="str">
        <f>CONCATENATE("Вышка-тура ",'Вышки туры'!J7," Высота - ",'Вышки туры'!G1," м.")</f>
        <v>Вышка-тура ПСРВ-21 Высота - 3,89 м.</v>
      </c>
      <c r="F177" s="515"/>
      <c r="G177" s="515"/>
      <c r="H177" s="515"/>
      <c r="I177" s="515"/>
      <c r="J177" s="515"/>
      <c r="K177" s="515"/>
      <c r="L177" s="515"/>
      <c r="M177" s="515"/>
      <c r="N177" s="515"/>
      <c r="O177" s="515"/>
      <c r="P177" s="515"/>
      <c r="Q177" s="515"/>
      <c r="R177" s="515"/>
      <c r="S177" s="515"/>
      <c r="T177" s="515"/>
      <c r="U177" s="515"/>
      <c r="V177" s="515"/>
      <c r="W177" s="515"/>
      <c r="X177" s="515"/>
      <c r="Y177" s="516">
        <f>'Вышки туры'!G3</f>
        <v>1</v>
      </c>
      <c r="Z177" s="516"/>
      <c r="AA177" s="516"/>
      <c r="AB177" s="516"/>
      <c r="AC177" s="516"/>
      <c r="AD177" s="516"/>
      <c r="AE177" s="516"/>
      <c r="AF177" s="550">
        <f>AM177/Y177</f>
        <v>33920</v>
      </c>
      <c r="AG177" s="550"/>
      <c r="AH177" s="550"/>
      <c r="AI177" s="550"/>
      <c r="AJ177" s="550"/>
      <c r="AK177" s="550"/>
      <c r="AL177" s="550"/>
      <c r="AM177" s="551">
        <f>AM144</f>
        <v>33920</v>
      </c>
      <c r="AN177" s="551"/>
      <c r="AO177" s="551"/>
      <c r="AP177" s="551"/>
      <c r="AQ177" s="551"/>
      <c r="AR177" s="551"/>
      <c r="AS177" s="551"/>
      <c r="AV177" s="93">
        <f>'Вышки туры'!H3</f>
        <v>20900</v>
      </c>
    </row>
    <row r="178" spans="1:48">
      <c r="A178" s="516"/>
      <c r="B178" s="516"/>
      <c r="C178" s="516"/>
      <c r="D178" s="516"/>
      <c r="E178" s="515"/>
      <c r="F178" s="515"/>
      <c r="G178" s="515"/>
      <c r="H178" s="515"/>
      <c r="I178" s="515"/>
      <c r="J178" s="515"/>
      <c r="K178" s="515"/>
      <c r="L178" s="515"/>
      <c r="M178" s="515"/>
      <c r="N178" s="515"/>
      <c r="O178" s="515"/>
      <c r="P178" s="515"/>
      <c r="Q178" s="515"/>
      <c r="R178" s="515"/>
      <c r="S178" s="515"/>
      <c r="T178" s="515"/>
      <c r="U178" s="515"/>
      <c r="V178" s="515"/>
      <c r="W178" s="515"/>
      <c r="X178" s="515"/>
      <c r="Y178" s="516"/>
      <c r="Z178" s="516"/>
      <c r="AA178" s="516"/>
      <c r="AB178" s="516"/>
      <c r="AC178" s="516"/>
      <c r="AD178" s="516"/>
      <c r="AE178" s="516"/>
      <c r="AF178" s="550"/>
      <c r="AG178" s="550"/>
      <c r="AH178" s="550"/>
      <c r="AI178" s="550"/>
      <c r="AJ178" s="550"/>
      <c r="AK178" s="550"/>
      <c r="AL178" s="550"/>
      <c r="AM178" s="551"/>
      <c r="AN178" s="551"/>
      <c r="AO178" s="551"/>
      <c r="AP178" s="551"/>
      <c r="AQ178" s="551"/>
      <c r="AR178" s="551"/>
      <c r="AS178" s="551"/>
    </row>
    <row r="179" spans="1:48" ht="15.75" customHeight="1">
      <c r="A179" s="516"/>
      <c r="B179" s="516"/>
      <c r="C179" s="516"/>
      <c r="D179" s="516"/>
      <c r="E179" s="515"/>
      <c r="F179" s="515"/>
      <c r="G179" s="515"/>
      <c r="H179" s="515"/>
      <c r="I179" s="515"/>
      <c r="J179" s="515"/>
      <c r="K179" s="515"/>
      <c r="L179" s="515"/>
      <c r="M179" s="515"/>
      <c r="N179" s="515"/>
      <c r="O179" s="515"/>
      <c r="P179" s="515"/>
      <c r="Q179" s="515"/>
      <c r="R179" s="515"/>
      <c r="S179" s="515"/>
      <c r="T179" s="515"/>
      <c r="U179" s="515"/>
      <c r="V179" s="515"/>
      <c r="W179" s="515"/>
      <c r="X179" s="515"/>
      <c r="Y179" s="516"/>
      <c r="Z179" s="516"/>
      <c r="AA179" s="516"/>
      <c r="AB179" s="516"/>
      <c r="AC179" s="516"/>
      <c r="AD179" s="516"/>
      <c r="AE179" s="516"/>
      <c r="AF179" s="582" t="s">
        <v>400</v>
      </c>
      <c r="AG179" s="582"/>
      <c r="AH179" s="582"/>
      <c r="AI179" s="582"/>
      <c r="AJ179" s="582"/>
      <c r="AK179" s="582"/>
      <c r="AL179" s="582"/>
      <c r="AM179" s="551">
        <f>SUM(AM177:AS178)</f>
        <v>33920</v>
      </c>
      <c r="AN179" s="551"/>
      <c r="AO179" s="551"/>
      <c r="AP179" s="551"/>
      <c r="AQ179" s="551"/>
      <c r="AR179" s="551"/>
      <c r="AS179" s="551"/>
    </row>
    <row r="180" spans="1:48">
      <c r="A180" s="698"/>
      <c r="B180" s="698"/>
      <c r="C180" s="698"/>
      <c r="D180" s="698"/>
      <c r="E180" s="699"/>
      <c r="F180" s="699"/>
      <c r="G180" s="699"/>
      <c r="H180" s="699"/>
      <c r="I180" s="699"/>
      <c r="J180" s="699"/>
      <c r="K180" s="699"/>
      <c r="L180" s="699"/>
      <c r="M180" s="699"/>
      <c r="N180" s="699"/>
      <c r="O180" s="699"/>
      <c r="P180" s="699"/>
      <c r="Q180" s="699"/>
      <c r="R180" s="699"/>
      <c r="S180" s="699"/>
      <c r="T180" s="699"/>
      <c r="U180" s="699"/>
      <c r="V180" s="699"/>
      <c r="W180" s="699"/>
      <c r="X180" s="699"/>
      <c r="Y180" s="698"/>
      <c r="Z180" s="698"/>
      <c r="AA180" s="698"/>
      <c r="AB180" s="698"/>
      <c r="AC180" s="698"/>
      <c r="AD180" s="698"/>
      <c r="AE180" s="698"/>
      <c r="AF180" s="700"/>
      <c r="AG180" s="700"/>
      <c r="AH180" s="700"/>
      <c r="AI180" s="700"/>
      <c r="AJ180" s="700"/>
      <c r="AK180" s="700"/>
      <c r="AL180" s="700"/>
      <c r="AM180" s="701"/>
      <c r="AN180" s="701"/>
      <c r="AO180" s="701"/>
      <c r="AP180" s="701"/>
      <c r="AQ180" s="701"/>
      <c r="AR180" s="701"/>
      <c r="AS180" s="701"/>
    </row>
    <row r="181" spans="1:48">
      <c r="A181" s="707" t="s">
        <v>428</v>
      </c>
      <c r="B181" s="707"/>
      <c r="C181" s="707"/>
      <c r="D181" s="707"/>
      <c r="E181" s="707"/>
      <c r="F181" s="707"/>
      <c r="G181" s="707"/>
      <c r="H181" s="707"/>
      <c r="I181" s="707"/>
      <c r="J181" s="707"/>
      <c r="K181" s="707"/>
      <c r="L181" s="707"/>
      <c r="M181" s="707"/>
      <c r="N181" s="707"/>
      <c r="O181" s="707"/>
      <c r="P181" s="707"/>
      <c r="Q181" s="707"/>
      <c r="R181" s="707"/>
      <c r="S181" s="707"/>
      <c r="T181" s="707"/>
      <c r="U181" s="707"/>
      <c r="V181" s="707"/>
      <c r="W181" s="707"/>
      <c r="X181" s="707"/>
      <c r="Y181" s="707"/>
      <c r="Z181" s="707"/>
      <c r="AA181" s="707"/>
      <c r="AB181" s="707"/>
      <c r="AC181" s="707"/>
      <c r="AD181" s="707"/>
      <c r="AE181" s="707"/>
      <c r="AF181" s="707"/>
      <c r="AG181" s="707"/>
      <c r="AH181" s="707"/>
      <c r="AI181" s="707"/>
      <c r="AJ181" s="707"/>
      <c r="AK181" s="707"/>
      <c r="AL181" s="707"/>
      <c r="AM181" s="707"/>
      <c r="AN181" s="707"/>
      <c r="AO181" s="707"/>
      <c r="AP181" s="707"/>
      <c r="AQ181" s="707"/>
      <c r="AR181" s="707"/>
      <c r="AS181" s="707"/>
    </row>
    <row r="182" spans="1:48">
      <c r="A182" s="516" t="s">
        <v>121</v>
      </c>
      <c r="B182" s="516"/>
      <c r="C182" s="516"/>
      <c r="D182" s="516"/>
      <c r="E182" s="705" t="s">
        <v>31</v>
      </c>
      <c r="F182" s="705"/>
      <c r="G182" s="705"/>
      <c r="H182" s="705"/>
      <c r="I182" s="705"/>
      <c r="J182" s="705"/>
      <c r="K182" s="705"/>
      <c r="L182" s="705"/>
      <c r="M182" s="705"/>
      <c r="N182" s="705"/>
      <c r="O182" s="705"/>
      <c r="P182" s="705"/>
      <c r="Q182" s="705"/>
      <c r="R182" s="705"/>
      <c r="S182" s="705"/>
      <c r="T182" s="705"/>
      <c r="U182" s="705"/>
      <c r="V182" s="705"/>
      <c r="W182" s="705"/>
      <c r="X182" s="705"/>
      <c r="Y182" s="705"/>
      <c r="Z182" s="705"/>
      <c r="AA182" s="705"/>
      <c r="AB182" s="705"/>
      <c r="AC182" s="705"/>
      <c r="AD182" s="705"/>
      <c r="AE182" s="705"/>
      <c r="AF182" s="705"/>
      <c r="AG182" s="705"/>
      <c r="AH182" s="705"/>
      <c r="AI182" s="705" t="s">
        <v>436</v>
      </c>
      <c r="AJ182" s="705"/>
      <c r="AK182" s="705"/>
      <c r="AL182" s="705"/>
      <c r="AM182" s="705"/>
      <c r="AN182" s="705"/>
      <c r="AO182" s="705"/>
      <c r="AP182" s="705"/>
      <c r="AQ182" s="705"/>
      <c r="AR182" s="705"/>
      <c r="AS182" s="705"/>
    </row>
    <row r="183" spans="1:48">
      <c r="A183" s="516">
        <v>1</v>
      </c>
      <c r="B183" s="516"/>
      <c r="C183" s="516"/>
      <c r="D183" s="516"/>
      <c r="E183" s="515" t="str">
        <f>E135</f>
        <v>База в сборе (2420мм)</v>
      </c>
      <c r="F183" s="515"/>
      <c r="G183" s="515"/>
      <c r="H183" s="515"/>
      <c r="I183" s="515"/>
      <c r="J183" s="515"/>
      <c r="K183" s="515"/>
      <c r="L183" s="515"/>
      <c r="M183" s="515"/>
      <c r="N183" s="515"/>
      <c r="O183" s="515"/>
      <c r="P183" s="515"/>
      <c r="Q183" s="515"/>
      <c r="R183" s="515"/>
      <c r="S183" s="515"/>
      <c r="T183" s="515"/>
      <c r="U183" s="515"/>
      <c r="V183" s="515"/>
      <c r="W183" s="515"/>
      <c r="X183" s="515"/>
      <c r="Y183" s="515"/>
      <c r="Z183" s="515"/>
      <c r="AA183" s="515"/>
      <c r="AB183" s="515"/>
      <c r="AC183" s="515"/>
      <c r="AD183" s="515"/>
      <c r="AE183" s="515"/>
      <c r="AF183" s="515"/>
      <c r="AG183" s="515"/>
      <c r="AH183" s="515"/>
      <c r="AI183" s="702">
        <f>'Вышки туры'!D36</f>
        <v>2</v>
      </c>
      <c r="AJ183" s="703"/>
      <c r="AK183" s="703"/>
      <c r="AL183" s="703"/>
      <c r="AM183" s="703"/>
      <c r="AN183" s="703"/>
      <c r="AO183" s="703"/>
      <c r="AP183" s="703"/>
      <c r="AQ183" s="703"/>
      <c r="AR183" s="703"/>
      <c r="AS183" s="704"/>
    </row>
    <row r="184" spans="1:48">
      <c r="A184" s="516">
        <v>2</v>
      </c>
      <c r="B184" s="516"/>
      <c r="C184" s="516"/>
      <c r="D184" s="516"/>
      <c r="E184" s="515" t="str">
        <f t="shared" ref="E184:E191" si="2">E136</f>
        <v>Лестница секции (1160мм х 1214мм)</v>
      </c>
      <c r="F184" s="515"/>
      <c r="G184" s="515"/>
      <c r="H184" s="515"/>
      <c r="I184" s="515"/>
      <c r="J184" s="515"/>
      <c r="K184" s="515"/>
      <c r="L184" s="515"/>
      <c r="M184" s="515"/>
      <c r="N184" s="515"/>
      <c r="O184" s="515"/>
      <c r="P184" s="515"/>
      <c r="Q184" s="515"/>
      <c r="R184" s="515"/>
      <c r="S184" s="515"/>
      <c r="T184" s="515"/>
      <c r="U184" s="515"/>
      <c r="V184" s="515"/>
      <c r="W184" s="515"/>
      <c r="X184" s="515"/>
      <c r="Y184" s="515"/>
      <c r="Z184" s="515"/>
      <c r="AA184" s="515"/>
      <c r="AB184" s="515"/>
      <c r="AC184" s="515"/>
      <c r="AD184" s="515"/>
      <c r="AE184" s="515"/>
      <c r="AF184" s="515"/>
      <c r="AG184" s="515"/>
      <c r="AH184" s="515"/>
      <c r="AI184" s="702">
        <f>'Вышки туры'!D37</f>
        <v>6</v>
      </c>
      <c r="AJ184" s="703"/>
      <c r="AK184" s="703"/>
      <c r="AL184" s="703"/>
      <c r="AM184" s="703"/>
      <c r="AN184" s="703"/>
      <c r="AO184" s="703"/>
      <c r="AP184" s="703"/>
      <c r="AQ184" s="703"/>
      <c r="AR184" s="703"/>
      <c r="AS184" s="704"/>
    </row>
    <row r="185" spans="1:48">
      <c r="A185" s="516">
        <v>3</v>
      </c>
      <c r="B185" s="516"/>
      <c r="C185" s="516"/>
      <c r="D185" s="516"/>
      <c r="E185" s="515" t="str">
        <f t="shared" si="2"/>
        <v>Диагональ объемная (2305мм)</v>
      </c>
      <c r="F185" s="515"/>
      <c r="G185" s="515"/>
      <c r="H185" s="515"/>
      <c r="I185" s="515"/>
      <c r="J185" s="515"/>
      <c r="K185" s="515"/>
      <c r="L185" s="515"/>
      <c r="M185" s="515"/>
      <c r="N185" s="515"/>
      <c r="O185" s="515"/>
      <c r="P185" s="515"/>
      <c r="Q185" s="515"/>
      <c r="R185" s="515"/>
      <c r="S185" s="515"/>
      <c r="T185" s="515"/>
      <c r="U185" s="515"/>
      <c r="V185" s="515"/>
      <c r="W185" s="515"/>
      <c r="X185" s="515"/>
      <c r="Y185" s="515"/>
      <c r="Z185" s="515"/>
      <c r="AA185" s="515"/>
      <c r="AB185" s="515"/>
      <c r="AC185" s="515"/>
      <c r="AD185" s="515"/>
      <c r="AE185" s="515"/>
      <c r="AF185" s="515"/>
      <c r="AG185" s="515"/>
      <c r="AH185" s="515"/>
      <c r="AI185" s="702">
        <f>'Вышки туры'!D38</f>
        <v>1</v>
      </c>
      <c r="AJ185" s="703"/>
      <c r="AK185" s="703"/>
      <c r="AL185" s="703"/>
      <c r="AM185" s="703"/>
      <c r="AN185" s="703"/>
      <c r="AO185" s="703"/>
      <c r="AP185" s="703"/>
      <c r="AQ185" s="703"/>
      <c r="AR185" s="703"/>
      <c r="AS185" s="704"/>
    </row>
    <row r="186" spans="1:48">
      <c r="A186" s="516">
        <v>4</v>
      </c>
      <c r="B186" s="516"/>
      <c r="C186" s="516"/>
      <c r="D186" s="516"/>
      <c r="E186" s="515" t="str">
        <f t="shared" si="2"/>
        <v>Гантель (1975мм)</v>
      </c>
      <c r="F186" s="515"/>
      <c r="G186" s="515"/>
      <c r="H186" s="515"/>
      <c r="I186" s="515"/>
      <c r="J186" s="515"/>
      <c r="K186" s="515"/>
      <c r="L186" s="515"/>
      <c r="M186" s="515"/>
      <c r="N186" s="515"/>
      <c r="O186" s="515"/>
      <c r="P186" s="515"/>
      <c r="Q186" s="515"/>
      <c r="R186" s="515"/>
      <c r="S186" s="515"/>
      <c r="T186" s="515"/>
      <c r="U186" s="515"/>
      <c r="V186" s="515"/>
      <c r="W186" s="515"/>
      <c r="X186" s="515"/>
      <c r="Y186" s="515"/>
      <c r="Z186" s="515"/>
      <c r="AA186" s="515"/>
      <c r="AB186" s="515"/>
      <c r="AC186" s="515"/>
      <c r="AD186" s="515"/>
      <c r="AE186" s="515"/>
      <c r="AF186" s="515"/>
      <c r="AG186" s="515"/>
      <c r="AH186" s="515"/>
      <c r="AI186" s="702">
        <f>'Вышки туры'!D39</f>
        <v>4</v>
      </c>
      <c r="AJ186" s="703"/>
      <c r="AK186" s="703"/>
      <c r="AL186" s="703"/>
      <c r="AM186" s="703"/>
      <c r="AN186" s="703"/>
      <c r="AO186" s="703"/>
      <c r="AP186" s="703"/>
      <c r="AQ186" s="703"/>
      <c r="AR186" s="703"/>
      <c r="AS186" s="704"/>
    </row>
    <row r="187" spans="1:48">
      <c r="A187" s="516">
        <v>5</v>
      </c>
      <c r="B187" s="516"/>
      <c r="C187" s="516"/>
      <c r="D187" s="516"/>
      <c r="E187" s="515" t="str">
        <f t="shared" si="2"/>
        <v>Стяжка лестницы (840мм)</v>
      </c>
      <c r="F187" s="515"/>
      <c r="G187" s="515"/>
      <c r="H187" s="515"/>
      <c r="I187" s="515"/>
      <c r="J187" s="515"/>
      <c r="K187" s="515"/>
      <c r="L187" s="515"/>
      <c r="M187" s="515"/>
      <c r="N187" s="515"/>
      <c r="O187" s="515"/>
      <c r="P187" s="515"/>
      <c r="Q187" s="515"/>
      <c r="R187" s="515"/>
      <c r="S187" s="515"/>
      <c r="T187" s="515"/>
      <c r="U187" s="515"/>
      <c r="V187" s="515"/>
      <c r="W187" s="515"/>
      <c r="X187" s="515"/>
      <c r="Y187" s="515"/>
      <c r="Z187" s="515"/>
      <c r="AA187" s="515"/>
      <c r="AB187" s="515"/>
      <c r="AC187" s="515"/>
      <c r="AD187" s="515"/>
      <c r="AE187" s="515"/>
      <c r="AF187" s="515"/>
      <c r="AG187" s="515"/>
      <c r="AH187" s="515"/>
      <c r="AI187" s="702">
        <f>'Вышки туры'!D40</f>
        <v>24</v>
      </c>
      <c r="AJ187" s="703"/>
      <c r="AK187" s="703"/>
      <c r="AL187" s="703"/>
      <c r="AM187" s="703"/>
      <c r="AN187" s="703"/>
      <c r="AO187" s="703"/>
      <c r="AP187" s="703"/>
      <c r="AQ187" s="703"/>
      <c r="AR187" s="703"/>
      <c r="AS187" s="704"/>
    </row>
    <row r="188" spans="1:48">
      <c r="A188" s="516">
        <v>6</v>
      </c>
      <c r="B188" s="516"/>
      <c r="C188" s="516"/>
      <c r="D188" s="516"/>
      <c r="E188" s="515" t="str">
        <f t="shared" si="2"/>
        <v>Стабилизатор в сборе (2400мм)</v>
      </c>
      <c r="F188" s="515"/>
      <c r="G188" s="515"/>
      <c r="H188" s="515"/>
      <c r="I188" s="515"/>
      <c r="J188" s="515"/>
      <c r="K188" s="515"/>
      <c r="L188" s="515"/>
      <c r="M188" s="515"/>
      <c r="N188" s="515"/>
      <c r="O188" s="515"/>
      <c r="P188" s="515"/>
      <c r="Q188" s="515"/>
      <c r="R188" s="515"/>
      <c r="S188" s="515"/>
      <c r="T188" s="515"/>
      <c r="U188" s="515"/>
      <c r="V188" s="515"/>
      <c r="W188" s="515"/>
      <c r="X188" s="515"/>
      <c r="Y188" s="515"/>
      <c r="Z188" s="515"/>
      <c r="AA188" s="515"/>
      <c r="AB188" s="515"/>
      <c r="AC188" s="515"/>
      <c r="AD188" s="515"/>
      <c r="AE188" s="515"/>
      <c r="AF188" s="515"/>
      <c r="AG188" s="515"/>
      <c r="AH188" s="515"/>
      <c r="AI188" s="702">
        <f>'Вышки туры'!D41</f>
        <v>0</v>
      </c>
      <c r="AJ188" s="703"/>
      <c r="AK188" s="703"/>
      <c r="AL188" s="703"/>
      <c r="AM188" s="703"/>
      <c r="AN188" s="703"/>
      <c r="AO188" s="703"/>
      <c r="AP188" s="703"/>
      <c r="AQ188" s="703"/>
      <c r="AR188" s="703"/>
      <c r="AS188" s="704"/>
    </row>
    <row r="189" spans="1:48">
      <c r="A189" s="516">
        <v>7</v>
      </c>
      <c r="B189" s="516"/>
      <c r="C189" s="516"/>
      <c r="D189" s="516"/>
      <c r="E189" s="515" t="str">
        <f t="shared" si="2"/>
        <v>Гантель ограждения (1965мм)</v>
      </c>
      <c r="F189" s="515"/>
      <c r="G189" s="515"/>
      <c r="H189" s="515"/>
      <c r="I189" s="515"/>
      <c r="J189" s="515"/>
      <c r="K189" s="515"/>
      <c r="L189" s="515"/>
      <c r="M189" s="515"/>
      <c r="N189" s="515"/>
      <c r="O189" s="515"/>
      <c r="P189" s="515"/>
      <c r="Q189" s="515"/>
      <c r="R189" s="515"/>
      <c r="S189" s="515"/>
      <c r="T189" s="515"/>
      <c r="U189" s="515"/>
      <c r="V189" s="515"/>
      <c r="W189" s="515"/>
      <c r="X189" s="515"/>
      <c r="Y189" s="515"/>
      <c r="Z189" s="515"/>
      <c r="AA189" s="515"/>
      <c r="AB189" s="515"/>
      <c r="AC189" s="515"/>
      <c r="AD189" s="515"/>
      <c r="AE189" s="515"/>
      <c r="AF189" s="515"/>
      <c r="AG189" s="515"/>
      <c r="AH189" s="515"/>
      <c r="AI189" s="702">
        <f>'Вышки туры'!D43</f>
        <v>2</v>
      </c>
      <c r="AJ189" s="703"/>
      <c r="AK189" s="703"/>
      <c r="AL189" s="703"/>
      <c r="AM189" s="703"/>
      <c r="AN189" s="703"/>
      <c r="AO189" s="703"/>
      <c r="AP189" s="703"/>
      <c r="AQ189" s="703"/>
      <c r="AR189" s="703"/>
      <c r="AS189" s="704"/>
    </row>
    <row r="190" spans="1:48">
      <c r="A190" s="516">
        <v>8</v>
      </c>
      <c r="B190" s="516"/>
      <c r="C190" s="516"/>
      <c r="D190" s="516"/>
      <c r="E190" s="515" t="str">
        <f t="shared" si="2"/>
        <v>Настил без люка (1995мм х 525мм)</v>
      </c>
      <c r="F190" s="515"/>
      <c r="G190" s="515"/>
      <c r="H190" s="515"/>
      <c r="I190" s="515"/>
      <c r="J190" s="515"/>
      <c r="K190" s="515"/>
      <c r="L190" s="515"/>
      <c r="M190" s="515"/>
      <c r="N190" s="515"/>
      <c r="O190" s="515"/>
      <c r="P190" s="515"/>
      <c r="Q190" s="515"/>
      <c r="R190" s="515"/>
      <c r="S190" s="515"/>
      <c r="T190" s="515"/>
      <c r="U190" s="515"/>
      <c r="V190" s="515"/>
      <c r="W190" s="515"/>
      <c r="X190" s="515"/>
      <c r="Y190" s="515"/>
      <c r="Z190" s="515"/>
      <c r="AA190" s="515"/>
      <c r="AB190" s="515"/>
      <c r="AC190" s="515"/>
      <c r="AD190" s="515"/>
      <c r="AE190" s="515"/>
      <c r="AF190" s="515"/>
      <c r="AG190" s="515"/>
      <c r="AH190" s="515"/>
      <c r="AI190" s="702">
        <f>'Вышки туры'!D45</f>
        <v>1</v>
      </c>
      <c r="AJ190" s="703"/>
      <c r="AK190" s="703"/>
      <c r="AL190" s="703"/>
      <c r="AM190" s="703"/>
      <c r="AN190" s="703"/>
      <c r="AO190" s="703"/>
      <c r="AP190" s="703"/>
      <c r="AQ190" s="703"/>
      <c r="AR190" s="703"/>
      <c r="AS190" s="704"/>
    </row>
    <row r="191" spans="1:48">
      <c r="A191" s="516">
        <v>9</v>
      </c>
      <c r="B191" s="516"/>
      <c r="C191" s="516"/>
      <c r="D191" s="516"/>
      <c r="E191" s="515" t="str">
        <f t="shared" si="2"/>
        <v>Настил с люком (1995мм х 525мм)</v>
      </c>
      <c r="F191" s="515"/>
      <c r="G191" s="515"/>
      <c r="H191" s="515"/>
      <c r="I191" s="515"/>
      <c r="J191" s="515"/>
      <c r="K191" s="515"/>
      <c r="L191" s="515"/>
      <c r="M191" s="515"/>
      <c r="N191" s="515"/>
      <c r="O191" s="515"/>
      <c r="P191" s="515"/>
      <c r="Q191" s="515"/>
      <c r="R191" s="515"/>
      <c r="S191" s="515"/>
      <c r="T191" s="515"/>
      <c r="U191" s="515"/>
      <c r="V191" s="515"/>
      <c r="W191" s="515"/>
      <c r="X191" s="515"/>
      <c r="Y191" s="515"/>
      <c r="Z191" s="515"/>
      <c r="AA191" s="515"/>
      <c r="AB191" s="515"/>
      <c r="AC191" s="515"/>
      <c r="AD191" s="515"/>
      <c r="AE191" s="515"/>
      <c r="AF191" s="515"/>
      <c r="AG191" s="515"/>
      <c r="AH191" s="515"/>
      <c r="AI191" s="702">
        <f>'Вышки туры'!D46</f>
        <v>1</v>
      </c>
      <c r="AJ191" s="703"/>
      <c r="AK191" s="703"/>
      <c r="AL191" s="703"/>
      <c r="AM191" s="703"/>
      <c r="AN191" s="703"/>
      <c r="AO191" s="703"/>
      <c r="AP191" s="703"/>
      <c r="AQ191" s="703"/>
      <c r="AR191" s="703"/>
      <c r="AS191" s="704"/>
    </row>
    <row r="193" spans="1:46" ht="30" customHeight="1">
      <c r="A193" s="543" t="s">
        <v>404</v>
      </c>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43"/>
      <c r="AH193" s="543"/>
      <c r="AI193" s="543"/>
      <c r="AJ193" s="543"/>
      <c r="AK193" s="543"/>
      <c r="AL193" s="543"/>
      <c r="AM193" s="543"/>
      <c r="AN193" s="543"/>
      <c r="AO193" s="543"/>
      <c r="AP193" s="543"/>
      <c r="AQ193" s="543"/>
      <c r="AR193" s="543"/>
      <c r="AS193" s="543"/>
    </row>
    <row r="194" spans="1:46" ht="14.25" customHeight="1">
      <c r="A194" s="543" t="s">
        <v>405</v>
      </c>
      <c r="B194" s="543"/>
      <c r="C194" s="543"/>
      <c r="D194" s="543"/>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c r="AA194" s="543"/>
      <c r="AB194" s="543"/>
      <c r="AC194" s="543"/>
      <c r="AD194" s="543"/>
      <c r="AE194" s="543"/>
      <c r="AF194" s="543"/>
      <c r="AG194" s="543"/>
      <c r="AH194" s="543"/>
      <c r="AI194" s="543"/>
      <c r="AJ194" s="543"/>
      <c r="AK194" s="543"/>
      <c r="AL194" s="543"/>
      <c r="AM194" s="543"/>
      <c r="AN194" s="543"/>
      <c r="AO194" s="543"/>
      <c r="AP194" s="543"/>
      <c r="AQ194" s="543"/>
      <c r="AR194" s="543"/>
      <c r="AS194" s="543"/>
    </row>
    <row r="195" spans="1:46">
      <c r="A195" s="580"/>
      <c r="B195" s="580"/>
      <c r="C195" s="580"/>
      <c r="D195" s="580"/>
      <c r="E195" s="580"/>
      <c r="F195" s="580"/>
      <c r="G195" s="580"/>
      <c r="H195" s="580"/>
      <c r="I195" s="580"/>
      <c r="J195" s="580"/>
      <c r="K195" s="580"/>
      <c r="L195" s="580"/>
      <c r="M195" s="580"/>
      <c r="N195" s="580"/>
      <c r="O195" s="580"/>
      <c r="P195" s="580"/>
      <c r="Q195" s="580"/>
      <c r="R195" s="580"/>
      <c r="S195" s="580"/>
      <c r="T195" s="580"/>
      <c r="U195" s="580"/>
      <c r="V195" s="580"/>
      <c r="W195" s="580"/>
      <c r="X195" s="580"/>
      <c r="Y195" s="580"/>
      <c r="Z195" s="580"/>
      <c r="AA195" s="580"/>
      <c r="AB195" s="580"/>
      <c r="AC195" s="580"/>
      <c r="AD195" s="580"/>
      <c r="AE195" s="580"/>
      <c r="AF195" s="580"/>
      <c r="AG195" s="580"/>
      <c r="AH195" s="580"/>
      <c r="AI195" s="580"/>
      <c r="AJ195" s="580"/>
      <c r="AK195" s="580"/>
      <c r="AL195" s="580"/>
      <c r="AM195" s="580"/>
      <c r="AN195" s="580"/>
      <c r="AO195" s="580"/>
      <c r="AP195" s="580"/>
      <c r="AQ195" s="580"/>
      <c r="AR195" s="580"/>
      <c r="AS195" s="580"/>
    </row>
    <row r="196" spans="1:46">
      <c r="A196" s="581"/>
      <c r="B196" s="581"/>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c r="AA196" s="581"/>
      <c r="AB196" s="581"/>
      <c r="AC196" s="581"/>
      <c r="AD196" s="581"/>
      <c r="AE196" s="581"/>
      <c r="AF196" s="581"/>
      <c r="AG196" s="581"/>
      <c r="AH196" s="581"/>
      <c r="AI196" s="581"/>
      <c r="AJ196" s="581"/>
      <c r="AK196" s="581"/>
      <c r="AL196" s="581"/>
      <c r="AM196" s="581"/>
      <c r="AN196" s="581"/>
      <c r="AO196" s="581"/>
      <c r="AP196" s="581"/>
      <c r="AQ196" s="581"/>
      <c r="AR196" s="581"/>
      <c r="AS196" s="581"/>
    </row>
    <row r="197" spans="1:46">
      <c r="A197" s="543" t="s">
        <v>406</v>
      </c>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c r="AM197" s="543"/>
      <c r="AN197" s="543"/>
      <c r="AO197" s="543"/>
      <c r="AP197" s="543"/>
      <c r="AQ197" s="543"/>
      <c r="AR197" s="543"/>
      <c r="AS197" s="543"/>
    </row>
    <row r="198" spans="1:46">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spans="1:46" s="200" customFormat="1">
      <c r="A199" s="517" t="s">
        <v>403</v>
      </c>
      <c r="B199" s="517"/>
      <c r="C199" s="517"/>
      <c r="D199" s="517"/>
      <c r="E199" s="517"/>
      <c r="F199" s="517"/>
      <c r="G199" s="517"/>
      <c r="H199" s="517"/>
      <c r="I199" s="517"/>
      <c r="J199" s="517"/>
      <c r="K199" s="517"/>
      <c r="L199" s="517"/>
      <c r="M199" s="517"/>
      <c r="N199" s="517"/>
      <c r="O199" s="517"/>
      <c r="P199" s="517"/>
      <c r="Q199" s="517"/>
      <c r="R199" s="517"/>
      <c r="S199" s="517"/>
      <c r="T199" s="517"/>
      <c r="U199" s="517"/>
      <c r="V199" s="517"/>
      <c r="W199" s="517"/>
      <c r="X199" s="517"/>
      <c r="Y199" s="517"/>
      <c r="Z199" s="517"/>
      <c r="AA199" s="517"/>
      <c r="AB199" s="517"/>
      <c r="AC199" s="517"/>
      <c r="AD199" s="517"/>
      <c r="AE199" s="517"/>
      <c r="AF199" s="517"/>
      <c r="AG199" s="517"/>
      <c r="AH199" s="517"/>
      <c r="AI199" s="517"/>
      <c r="AJ199" s="517"/>
      <c r="AK199" s="517"/>
      <c r="AL199" s="517"/>
      <c r="AM199" s="517"/>
      <c r="AN199" s="517"/>
      <c r="AO199" s="517"/>
      <c r="AP199" s="517"/>
      <c r="AQ199" s="517"/>
      <c r="AR199" s="517"/>
      <c r="AS199" s="517"/>
      <c r="AT199" s="93"/>
    </row>
    <row r="200" spans="1:46">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c r="AA200" s="219"/>
      <c r="AB200" s="219"/>
      <c r="AC200" s="219"/>
      <c r="AD200" s="219"/>
      <c r="AE200" s="219"/>
      <c r="AF200" s="219"/>
      <c r="AG200" s="219"/>
      <c r="AH200" s="219"/>
      <c r="AI200" s="219"/>
      <c r="AJ200" s="219"/>
      <c r="AK200" s="219"/>
      <c r="AL200" s="219"/>
      <c r="AM200" s="219"/>
      <c r="AN200" s="219"/>
      <c r="AO200" s="219"/>
      <c r="AP200" s="219"/>
      <c r="AQ200" s="219"/>
      <c r="AR200" s="219"/>
      <c r="AS200" s="219"/>
    </row>
    <row r="201" spans="1:46">
      <c r="A201" s="219"/>
      <c r="B201" s="94" t="s">
        <v>116</v>
      </c>
      <c r="AF201" s="94" t="s">
        <v>117</v>
      </c>
      <c r="AQ201" s="219"/>
      <c r="AR201" s="219"/>
      <c r="AS201" s="219"/>
    </row>
    <row r="202" spans="1:46">
      <c r="A202" s="219"/>
      <c r="AQ202" s="219"/>
      <c r="AR202" s="219"/>
      <c r="AS202" s="219"/>
    </row>
    <row r="203" spans="1:46">
      <c r="A203" s="219"/>
      <c r="B203" s="97"/>
      <c r="C203" s="97"/>
      <c r="D203" s="97"/>
      <c r="E203" s="97"/>
      <c r="F203" s="97"/>
      <c r="G203" s="97"/>
      <c r="H203" s="97"/>
      <c r="I203" s="97"/>
      <c r="J203" s="97"/>
      <c r="K203" s="97"/>
      <c r="L203" s="97"/>
      <c r="M203" s="93" t="str">
        <f>BX4</f>
        <v>А.П. Выборных</v>
      </c>
      <c r="AF203" s="97"/>
      <c r="AG203" s="97"/>
      <c r="AH203" s="97"/>
      <c r="AI203" s="97"/>
      <c r="AJ203" s="97"/>
      <c r="AK203" s="97"/>
      <c r="AL203" s="97"/>
      <c r="AM203" s="97"/>
      <c r="AN203" s="97"/>
      <c r="AO203" s="97"/>
      <c r="AP203" s="97"/>
      <c r="AQ203" s="219"/>
      <c r="AR203" s="219"/>
      <c r="AS203" s="219"/>
    </row>
    <row r="204" spans="1:46">
      <c r="A204" s="219"/>
      <c r="AQ204" s="219"/>
      <c r="AR204" s="219"/>
      <c r="AS204" s="219"/>
    </row>
    <row r="205" spans="1:46">
      <c r="B205" s="94" t="s">
        <v>118</v>
      </c>
      <c r="AF205" s="94" t="s">
        <v>118</v>
      </c>
    </row>
    <row r="207" spans="1:46">
      <c r="A207" s="544" t="str">
        <f ca="1">CONCATENATE("Приложение №3 к договору аренды оборудования №",ДляДоговора!B2)</f>
        <v>Приложение №3 к договору аренды оборудования №30/03-А(23)</v>
      </c>
      <c r="B207" s="544"/>
      <c r="C207" s="544"/>
      <c r="D207" s="544"/>
      <c r="E207" s="544"/>
      <c r="F207" s="544"/>
      <c r="G207" s="544"/>
      <c r="H207" s="544"/>
      <c r="I207" s="544"/>
      <c r="J207" s="544"/>
      <c r="K207" s="544"/>
      <c r="L207" s="544"/>
      <c r="M207" s="544"/>
      <c r="N207" s="544"/>
      <c r="O207" s="544"/>
      <c r="P207" s="544"/>
      <c r="Q207" s="544"/>
      <c r="R207" s="544"/>
      <c r="S207" s="544"/>
      <c r="T207" s="544"/>
      <c r="U207" s="544"/>
      <c r="V207" s="544"/>
      <c r="W207" s="544"/>
      <c r="X207" s="544"/>
      <c r="Y207" s="544"/>
      <c r="Z207" s="544"/>
      <c r="AA207" s="544"/>
      <c r="AB207" s="544"/>
      <c r="AC207" s="544"/>
      <c r="AD207" s="544"/>
      <c r="AE207" s="544"/>
      <c r="AF207" s="544"/>
      <c r="AG207" s="544"/>
      <c r="AH207" s="544"/>
      <c r="AI207" s="544"/>
      <c r="AJ207" s="544"/>
      <c r="AK207" s="544"/>
      <c r="AL207" s="544"/>
      <c r="AM207" s="544"/>
      <c r="AN207" s="544"/>
      <c r="AO207" s="544"/>
      <c r="AP207" s="544"/>
      <c r="AQ207" s="544"/>
      <c r="AR207" s="544"/>
      <c r="AS207" s="544"/>
    </row>
    <row r="208" spans="1:46">
      <c r="AL208" s="197" t="str">
        <f ca="1">CONCATENATE("от ",ДляДоговора!B3)</f>
        <v>от 30 марта 2023г.</v>
      </c>
    </row>
    <row r="209" spans="1:48">
      <c r="V209" s="88"/>
    </row>
    <row r="210" spans="1:48">
      <c r="A210" s="545" t="s">
        <v>407</v>
      </c>
      <c r="B210" s="545"/>
      <c r="C210" s="545"/>
      <c r="D210" s="545"/>
      <c r="E210" s="545"/>
      <c r="F210" s="545"/>
      <c r="G210" s="545"/>
      <c r="H210" s="545"/>
      <c r="I210" s="545"/>
      <c r="J210" s="545"/>
      <c r="K210" s="545"/>
      <c r="L210" s="545"/>
      <c r="M210" s="545"/>
      <c r="N210" s="545"/>
      <c r="O210" s="545"/>
      <c r="P210" s="545"/>
      <c r="Q210" s="545"/>
      <c r="R210" s="545"/>
      <c r="S210" s="545"/>
      <c r="T210" s="545"/>
      <c r="U210" s="545"/>
      <c r="V210" s="545"/>
      <c r="W210" s="545"/>
      <c r="X210" s="545"/>
      <c r="Y210" s="545"/>
      <c r="Z210" s="545"/>
      <c r="AA210" s="545"/>
      <c r="AB210" s="545"/>
      <c r="AC210" s="545"/>
      <c r="AD210" s="545"/>
      <c r="AE210" s="545"/>
      <c r="AF210" s="545"/>
      <c r="AG210" s="545"/>
      <c r="AH210" s="545"/>
      <c r="AI210" s="545"/>
      <c r="AJ210" s="545"/>
      <c r="AK210" s="545"/>
      <c r="AL210" s="545"/>
      <c r="AM210" s="545"/>
      <c r="AN210" s="545"/>
      <c r="AO210" s="545"/>
      <c r="AP210" s="545"/>
      <c r="AQ210" s="545"/>
      <c r="AR210" s="545"/>
      <c r="AS210" s="545"/>
    </row>
    <row r="211" spans="1:48">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c r="AP211" s="230"/>
      <c r="AQ211" s="230"/>
      <c r="AR211" s="230"/>
      <c r="AS211" s="230"/>
    </row>
    <row r="212" spans="1:48">
      <c r="A212" s="94" t="str">
        <f>ДляДоговора!B22</f>
        <v>г. Екатеринбург</v>
      </c>
    </row>
    <row r="214" spans="1:48" ht="122.25" customHeight="1">
      <c r="A214" s="546" t="str">
        <f ca="1">"ООО «УПСК», именуемое в дальнейшем «Арендодатель», в лице "&amp;BX3&amp;" действующего на основании Устава, с одной стороны, и "&amp;ДляДоговора!B4&amp;", именуемое в дальнейшем «Арендатор», в лице "&amp;ДляДоговора!B5&amp;" "&amp;ДляДоговора!B6&amp;" действующего на основании "&amp;ДляДоговора!B7&amp;ДляДоговора!B8&amp;" с другой стороны, в соответствии с условиями заключенного Сторонами Договора аренды оборудования № "&amp;ДляДоговора!B2&amp;" от "&amp;ДляДоговора!B3&amp;" согласовали следующий порядок определения стоимости устранения повреждений / обслуживания арендуемого оборудования,"&amp;" в случае его повреждения, уничтожения, прочих затрат на приведение оборудование в первоначальное или работоспособное состояние, за исключением его нормального износа:"</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в соответствии с условиями заключенного Сторонами Договора аренды оборудования № 30/03-А(23) от 30 марта 2023г. согласовали следующий порядок определения стоимости устранения повреждений / обслуживания арендуемого оборудования, в случае его повреждения, уничтожения, прочих затрат на приведение оборудование в первоначальное или работоспособное состояние, за исключением его нормального износа:</v>
      </c>
      <c r="B214" s="546"/>
      <c r="C214" s="546"/>
      <c r="D214" s="546"/>
      <c r="E214" s="546"/>
      <c r="F214" s="546"/>
      <c r="G214" s="546"/>
      <c r="H214" s="546"/>
      <c r="I214" s="546"/>
      <c r="J214" s="546"/>
      <c r="K214" s="546"/>
      <c r="L214" s="546"/>
      <c r="M214" s="546"/>
      <c r="N214" s="546"/>
      <c r="O214" s="546"/>
      <c r="P214" s="546"/>
      <c r="Q214" s="546"/>
      <c r="R214" s="546"/>
      <c r="S214" s="546"/>
      <c r="T214" s="546"/>
      <c r="U214" s="546"/>
      <c r="V214" s="546"/>
      <c r="W214" s="546"/>
      <c r="X214" s="546"/>
      <c r="Y214" s="546"/>
      <c r="Z214" s="546"/>
      <c r="AA214" s="546"/>
      <c r="AB214" s="546"/>
      <c r="AC214" s="546"/>
      <c r="AD214" s="546"/>
      <c r="AE214" s="546"/>
      <c r="AF214" s="546"/>
      <c r="AG214" s="546"/>
      <c r="AH214" s="546"/>
      <c r="AI214" s="546"/>
      <c r="AJ214" s="546"/>
      <c r="AK214" s="546"/>
      <c r="AL214" s="546"/>
      <c r="AM214" s="546"/>
      <c r="AN214" s="546"/>
      <c r="AO214" s="546"/>
      <c r="AP214" s="546"/>
      <c r="AQ214" s="546"/>
      <c r="AR214" s="546"/>
      <c r="AS214" s="546"/>
    </row>
    <row r="215" spans="1:48" ht="30.75" customHeight="1">
      <c r="A215" s="543" t="s">
        <v>408</v>
      </c>
      <c r="B215" s="543"/>
      <c r="C215" s="543"/>
      <c r="D215" s="543"/>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c r="AA215" s="543"/>
      <c r="AB215" s="543"/>
      <c r="AC215" s="543"/>
      <c r="AD215" s="543"/>
      <c r="AE215" s="543"/>
      <c r="AF215" s="543"/>
      <c r="AG215" s="543"/>
      <c r="AH215" s="543"/>
      <c r="AI215" s="543"/>
      <c r="AJ215" s="543"/>
      <c r="AK215" s="543"/>
      <c r="AL215" s="543"/>
      <c r="AM215" s="543"/>
      <c r="AN215" s="543"/>
      <c r="AO215" s="543"/>
      <c r="AP215" s="543"/>
      <c r="AQ215" s="543"/>
      <c r="AR215" s="543"/>
      <c r="AS215" s="543"/>
      <c r="AT215" s="222"/>
    </row>
    <row r="216" spans="1:48" ht="46.5" customHeight="1">
      <c r="A216" s="543" t="s">
        <v>409</v>
      </c>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c r="AB216" s="543"/>
      <c r="AC216" s="543"/>
      <c r="AD216" s="543"/>
      <c r="AE216" s="543"/>
      <c r="AF216" s="543"/>
      <c r="AG216" s="543"/>
      <c r="AH216" s="543"/>
      <c r="AI216" s="543"/>
      <c r="AJ216" s="543"/>
      <c r="AK216" s="543"/>
      <c r="AL216" s="543"/>
      <c r="AM216" s="543"/>
      <c r="AN216" s="543"/>
      <c r="AO216" s="543"/>
      <c r="AP216" s="543"/>
      <c r="AQ216" s="543"/>
      <c r="AR216" s="543"/>
      <c r="AS216" s="543"/>
      <c r="AT216" s="232"/>
    </row>
    <row r="217" spans="1:48" ht="31.5" customHeight="1">
      <c r="A217" s="543" t="s">
        <v>410</v>
      </c>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c r="AB217" s="543"/>
      <c r="AC217" s="543"/>
      <c r="AD217" s="543"/>
      <c r="AE217" s="543"/>
      <c r="AF217" s="543"/>
      <c r="AG217" s="543"/>
      <c r="AH217" s="543"/>
      <c r="AI217" s="543"/>
      <c r="AJ217" s="543"/>
      <c r="AK217" s="543"/>
      <c r="AL217" s="543"/>
      <c r="AM217" s="543"/>
      <c r="AN217" s="543"/>
      <c r="AO217" s="543"/>
      <c r="AP217" s="543"/>
      <c r="AQ217" s="543"/>
      <c r="AR217" s="543"/>
      <c r="AS217" s="543"/>
      <c r="AT217" s="232"/>
    </row>
    <row r="218" spans="1:48">
      <c r="A218" s="543" t="s">
        <v>411</v>
      </c>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c r="AB218" s="543"/>
      <c r="AC218" s="543"/>
      <c r="AD218" s="543"/>
      <c r="AE218" s="543"/>
      <c r="AF218" s="543"/>
      <c r="AG218" s="543"/>
      <c r="AH218" s="543"/>
      <c r="AI218" s="543"/>
      <c r="AJ218" s="543"/>
      <c r="AK218" s="543"/>
      <c r="AL218" s="543"/>
      <c r="AM218" s="543"/>
      <c r="AN218" s="543"/>
      <c r="AO218" s="543"/>
      <c r="AP218" s="543"/>
      <c r="AQ218" s="543"/>
      <c r="AR218" s="543"/>
      <c r="AS218" s="543"/>
      <c r="AT218" s="232"/>
    </row>
    <row r="219" spans="1:48">
      <c r="A219" s="549"/>
      <c r="B219" s="549"/>
      <c r="C219" s="549"/>
      <c r="D219" s="549"/>
      <c r="E219" s="549"/>
      <c r="F219" s="549"/>
      <c r="G219" s="549"/>
      <c r="H219" s="549"/>
      <c r="I219" s="549"/>
      <c r="J219" s="549"/>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232"/>
    </row>
    <row r="220" spans="1:48">
      <c r="A220" s="547" t="s">
        <v>412</v>
      </c>
      <c r="B220" s="547"/>
      <c r="C220" s="547"/>
      <c r="D220" s="547"/>
      <c r="E220" s="547"/>
      <c r="F220" s="547"/>
      <c r="G220" s="547"/>
      <c r="H220" s="547"/>
      <c r="I220" s="547"/>
      <c r="J220" s="547"/>
      <c r="K220" s="547"/>
      <c r="L220" s="547"/>
      <c r="M220" s="547"/>
      <c r="N220" s="547"/>
      <c r="O220" s="547"/>
      <c r="P220" s="547"/>
      <c r="Q220" s="547"/>
      <c r="R220" s="547"/>
      <c r="S220" s="547"/>
      <c r="T220" s="547"/>
      <c r="U220" s="547"/>
      <c r="V220" s="547"/>
      <c r="W220" s="547"/>
      <c r="X220" s="547"/>
      <c r="Y220" s="548"/>
      <c r="Z220" s="548"/>
      <c r="AA220" s="548"/>
      <c r="AB220" s="548"/>
      <c r="AC220" s="548"/>
      <c r="AD220" s="548"/>
      <c r="AE220" s="548"/>
      <c r="AF220" s="548"/>
      <c r="AG220" s="548"/>
      <c r="AH220" s="548"/>
      <c r="AI220" s="548"/>
      <c r="AJ220" s="548"/>
      <c r="AK220" s="548"/>
      <c r="AL220" s="548"/>
      <c r="AM220" s="548"/>
      <c r="AN220" s="548"/>
      <c r="AO220" s="548"/>
      <c r="AP220" s="548"/>
      <c r="AQ220" s="548"/>
      <c r="AR220" s="548"/>
      <c r="AS220" s="548"/>
      <c r="AT220" s="231"/>
    </row>
    <row r="221" spans="1:48" ht="30" customHeight="1">
      <c r="A221" s="510" t="s">
        <v>121</v>
      </c>
      <c r="B221" s="510"/>
      <c r="C221" s="510"/>
      <c r="D221" s="510"/>
      <c r="E221" s="510" t="s">
        <v>31</v>
      </c>
      <c r="F221" s="510"/>
      <c r="G221" s="510"/>
      <c r="H221" s="510"/>
      <c r="I221" s="510"/>
      <c r="J221" s="510"/>
      <c r="K221" s="510"/>
      <c r="L221" s="510"/>
      <c r="M221" s="510"/>
      <c r="N221" s="510"/>
      <c r="O221" s="510"/>
      <c r="P221" s="510"/>
      <c r="Q221" s="510"/>
      <c r="R221" s="510"/>
      <c r="S221" s="510"/>
      <c r="T221" s="510"/>
      <c r="U221" s="510"/>
      <c r="V221" s="510"/>
      <c r="W221" s="510"/>
      <c r="X221" s="583"/>
      <c r="Y221" s="507" t="s">
        <v>413</v>
      </c>
      <c r="Z221" s="507"/>
      <c r="AA221" s="507"/>
      <c r="AB221" s="507"/>
      <c r="AC221" s="507"/>
      <c r="AD221" s="507"/>
      <c r="AE221" s="507"/>
      <c r="AF221" s="507"/>
      <c r="AG221" s="507"/>
      <c r="AH221" s="507"/>
      <c r="AI221" s="507" t="s">
        <v>414</v>
      </c>
      <c r="AJ221" s="507"/>
      <c r="AK221" s="507"/>
      <c r="AL221" s="507"/>
      <c r="AM221" s="507"/>
      <c r="AN221" s="507"/>
      <c r="AO221" s="507"/>
      <c r="AP221" s="507"/>
      <c r="AQ221" s="507"/>
      <c r="AR221" s="507"/>
      <c r="AS221" s="507"/>
    </row>
    <row r="222" spans="1:48">
      <c r="A222" s="516">
        <v>1</v>
      </c>
      <c r="B222" s="516"/>
      <c r="C222" s="516"/>
      <c r="D222" s="516"/>
      <c r="E222" s="515" t="str">
        <f>'Вышки туры'!A36</f>
        <v>База в сборе (2420мм)</v>
      </c>
      <c r="F222" s="515"/>
      <c r="G222" s="515"/>
      <c r="H222" s="515"/>
      <c r="I222" s="515"/>
      <c r="J222" s="515"/>
      <c r="K222" s="515"/>
      <c r="L222" s="515"/>
      <c r="M222" s="515"/>
      <c r="N222" s="515"/>
      <c r="O222" s="515"/>
      <c r="P222" s="515"/>
      <c r="Q222" s="515"/>
      <c r="R222" s="515"/>
      <c r="S222" s="515"/>
      <c r="T222" s="515"/>
      <c r="U222" s="515"/>
      <c r="V222" s="515"/>
      <c r="W222" s="515"/>
      <c r="X222" s="515"/>
      <c r="Y222" s="510">
        <v>250</v>
      </c>
      <c r="Z222" s="510"/>
      <c r="AA222" s="510"/>
      <c r="AB222" s="510"/>
      <c r="AC222" s="510"/>
      <c r="AD222" s="510"/>
      <c r="AE222" s="510"/>
      <c r="AF222" s="510"/>
      <c r="AG222" s="510"/>
      <c r="AH222" s="510"/>
      <c r="AI222" s="524" t="s">
        <v>429</v>
      </c>
      <c r="AJ222" s="524"/>
      <c r="AK222" s="524"/>
      <c r="AL222" s="524"/>
      <c r="AM222" s="524"/>
      <c r="AN222" s="524"/>
      <c r="AO222" s="524"/>
      <c r="AP222" s="524"/>
      <c r="AQ222" s="524"/>
      <c r="AR222" s="524"/>
      <c r="AS222" s="524"/>
      <c r="AV222" s="93">
        <v>500</v>
      </c>
    </row>
    <row r="223" spans="1:48">
      <c r="A223" s="516">
        <v>2</v>
      </c>
      <c r="B223" s="516"/>
      <c r="C223" s="516"/>
      <c r="D223" s="516"/>
      <c r="E223" s="515" t="str">
        <f>'Вышки туры'!A37</f>
        <v>Лестница секции (1160мм х 1214мм)</v>
      </c>
      <c r="F223" s="515"/>
      <c r="G223" s="515"/>
      <c r="H223" s="515"/>
      <c r="I223" s="515"/>
      <c r="J223" s="515"/>
      <c r="K223" s="515"/>
      <c r="L223" s="515"/>
      <c r="M223" s="515"/>
      <c r="N223" s="515"/>
      <c r="O223" s="515"/>
      <c r="P223" s="515"/>
      <c r="Q223" s="515"/>
      <c r="R223" s="515"/>
      <c r="S223" s="515"/>
      <c r="T223" s="515"/>
      <c r="U223" s="515"/>
      <c r="V223" s="515"/>
      <c r="W223" s="515"/>
      <c r="X223" s="515"/>
      <c r="Y223" s="510">
        <v>80</v>
      </c>
      <c r="Z223" s="510"/>
      <c r="AA223" s="510"/>
      <c r="AB223" s="510"/>
      <c r="AC223" s="510"/>
      <c r="AD223" s="510"/>
      <c r="AE223" s="510"/>
      <c r="AF223" s="510"/>
      <c r="AG223" s="510"/>
      <c r="AH223" s="510"/>
      <c r="AI223" s="524" t="s">
        <v>430</v>
      </c>
      <c r="AJ223" s="524"/>
      <c r="AK223" s="524"/>
      <c r="AL223" s="524"/>
      <c r="AM223" s="524"/>
      <c r="AN223" s="524"/>
      <c r="AO223" s="524"/>
      <c r="AP223" s="524"/>
      <c r="AQ223" s="524"/>
      <c r="AR223" s="524"/>
      <c r="AS223" s="524"/>
      <c r="AV223" s="93">
        <v>200</v>
      </c>
    </row>
    <row r="224" spans="1:48">
      <c r="A224" s="516">
        <v>3</v>
      </c>
      <c r="B224" s="516"/>
      <c r="C224" s="516"/>
      <c r="D224" s="516"/>
      <c r="E224" s="515" t="str">
        <f>'Вышки туры'!A38</f>
        <v>Диагональ объемная (2305мм)</v>
      </c>
      <c r="F224" s="515"/>
      <c r="G224" s="515"/>
      <c r="H224" s="515"/>
      <c r="I224" s="515"/>
      <c r="J224" s="515"/>
      <c r="K224" s="515"/>
      <c r="L224" s="515"/>
      <c r="M224" s="515"/>
      <c r="N224" s="515"/>
      <c r="O224" s="515"/>
      <c r="P224" s="515"/>
      <c r="Q224" s="515"/>
      <c r="R224" s="515"/>
      <c r="S224" s="515"/>
      <c r="T224" s="515"/>
      <c r="U224" s="515"/>
      <c r="V224" s="515"/>
      <c r="W224" s="515"/>
      <c r="X224" s="515"/>
      <c r="Y224" s="510">
        <v>50</v>
      </c>
      <c r="Z224" s="510"/>
      <c r="AA224" s="510"/>
      <c r="AB224" s="510"/>
      <c r="AC224" s="510"/>
      <c r="AD224" s="510"/>
      <c r="AE224" s="510"/>
      <c r="AF224" s="510"/>
      <c r="AG224" s="510"/>
      <c r="AH224" s="510"/>
      <c r="AI224" s="524" t="s">
        <v>431</v>
      </c>
      <c r="AJ224" s="524"/>
      <c r="AK224" s="524"/>
      <c r="AL224" s="524"/>
      <c r="AM224" s="524"/>
      <c r="AN224" s="524"/>
      <c r="AO224" s="524"/>
      <c r="AP224" s="524"/>
      <c r="AQ224" s="524"/>
      <c r="AR224" s="524"/>
      <c r="AS224" s="524"/>
      <c r="AV224" s="93">
        <v>50</v>
      </c>
    </row>
    <row r="225" spans="1:48">
      <c r="A225" s="516">
        <v>4</v>
      </c>
      <c r="B225" s="516"/>
      <c r="C225" s="516"/>
      <c r="D225" s="516"/>
      <c r="E225" s="515" t="str">
        <f>'Вышки туры'!A39</f>
        <v>Гантель (1975мм)</v>
      </c>
      <c r="F225" s="515"/>
      <c r="G225" s="515"/>
      <c r="H225" s="515"/>
      <c r="I225" s="515"/>
      <c r="J225" s="515"/>
      <c r="K225" s="515"/>
      <c r="L225" s="515"/>
      <c r="M225" s="515"/>
      <c r="N225" s="515"/>
      <c r="O225" s="515"/>
      <c r="P225" s="515"/>
      <c r="Q225" s="515"/>
      <c r="R225" s="515"/>
      <c r="S225" s="515"/>
      <c r="T225" s="515"/>
      <c r="U225" s="515"/>
      <c r="V225" s="515"/>
      <c r="W225" s="515"/>
      <c r="X225" s="515"/>
      <c r="Y225" s="510">
        <v>50</v>
      </c>
      <c r="Z225" s="510"/>
      <c r="AA225" s="510"/>
      <c r="AB225" s="510"/>
      <c r="AC225" s="510"/>
      <c r="AD225" s="510"/>
      <c r="AE225" s="510"/>
      <c r="AF225" s="510"/>
      <c r="AG225" s="510"/>
      <c r="AH225" s="510"/>
      <c r="AI225" s="524" t="s">
        <v>431</v>
      </c>
      <c r="AJ225" s="524"/>
      <c r="AK225" s="524"/>
      <c r="AL225" s="524"/>
      <c r="AM225" s="524"/>
      <c r="AN225" s="524"/>
      <c r="AO225" s="524"/>
      <c r="AP225" s="524"/>
      <c r="AQ225" s="524"/>
      <c r="AR225" s="524"/>
      <c r="AS225" s="524"/>
      <c r="AV225" s="93">
        <v>50</v>
      </c>
    </row>
    <row r="226" spans="1:48">
      <c r="A226" s="516">
        <v>5</v>
      </c>
      <c r="B226" s="516"/>
      <c r="C226" s="516"/>
      <c r="D226" s="516"/>
      <c r="E226" s="515" t="str">
        <f>'Вышки туры'!A40</f>
        <v>Стяжка лестницы (840мм)</v>
      </c>
      <c r="F226" s="515"/>
      <c r="G226" s="515"/>
      <c r="H226" s="515"/>
      <c r="I226" s="515"/>
      <c r="J226" s="515"/>
      <c r="K226" s="515"/>
      <c r="L226" s="515"/>
      <c r="M226" s="515"/>
      <c r="N226" s="515"/>
      <c r="O226" s="515"/>
      <c r="P226" s="515"/>
      <c r="Q226" s="515"/>
      <c r="R226" s="515"/>
      <c r="S226" s="515"/>
      <c r="T226" s="515"/>
      <c r="U226" s="515"/>
      <c r="V226" s="515"/>
      <c r="W226" s="515"/>
      <c r="X226" s="515"/>
      <c r="Y226" s="510">
        <v>30</v>
      </c>
      <c r="Z226" s="510"/>
      <c r="AA226" s="510"/>
      <c r="AB226" s="510"/>
      <c r="AC226" s="510"/>
      <c r="AD226" s="510"/>
      <c r="AE226" s="510"/>
      <c r="AF226" s="510"/>
      <c r="AG226" s="510"/>
      <c r="AH226" s="510"/>
      <c r="AI226" s="524" t="s">
        <v>432</v>
      </c>
      <c r="AJ226" s="524"/>
      <c r="AK226" s="524"/>
      <c r="AL226" s="524"/>
      <c r="AM226" s="524"/>
      <c r="AN226" s="524"/>
      <c r="AO226" s="524"/>
      <c r="AP226" s="524"/>
      <c r="AQ226" s="524"/>
      <c r="AR226" s="524"/>
      <c r="AS226" s="524"/>
      <c r="AV226" s="93">
        <v>30</v>
      </c>
    </row>
    <row r="227" spans="1:48">
      <c r="A227" s="516">
        <v>6</v>
      </c>
      <c r="B227" s="516"/>
      <c r="C227" s="516"/>
      <c r="D227" s="516"/>
      <c r="E227" s="515" t="str">
        <f>'Вышки туры'!A41</f>
        <v>Стабилизатор в сборе (2400мм)</v>
      </c>
      <c r="F227" s="515"/>
      <c r="G227" s="515"/>
      <c r="H227" s="515"/>
      <c r="I227" s="515"/>
      <c r="J227" s="515"/>
      <c r="K227" s="515"/>
      <c r="L227" s="515"/>
      <c r="M227" s="515"/>
      <c r="N227" s="515"/>
      <c r="O227" s="515"/>
      <c r="P227" s="515"/>
      <c r="Q227" s="515"/>
      <c r="R227" s="515"/>
      <c r="S227" s="515"/>
      <c r="T227" s="515"/>
      <c r="U227" s="515"/>
      <c r="V227" s="515"/>
      <c r="W227" s="515"/>
      <c r="X227" s="515"/>
      <c r="Y227" s="510">
        <v>100</v>
      </c>
      <c r="Z227" s="510"/>
      <c r="AA227" s="510"/>
      <c r="AB227" s="510"/>
      <c r="AC227" s="510"/>
      <c r="AD227" s="510"/>
      <c r="AE227" s="510"/>
      <c r="AF227" s="510"/>
      <c r="AG227" s="510"/>
      <c r="AH227" s="510"/>
      <c r="AI227" s="524" t="s">
        <v>433</v>
      </c>
      <c r="AJ227" s="524"/>
      <c r="AK227" s="524"/>
      <c r="AL227" s="524"/>
      <c r="AM227" s="524"/>
      <c r="AN227" s="524"/>
      <c r="AO227" s="524"/>
      <c r="AP227" s="524"/>
      <c r="AQ227" s="524"/>
      <c r="AR227" s="524"/>
      <c r="AS227" s="524"/>
      <c r="AV227" s="93">
        <v>100</v>
      </c>
    </row>
    <row r="228" spans="1:48">
      <c r="A228" s="516">
        <v>7</v>
      </c>
      <c r="B228" s="516"/>
      <c r="C228" s="516"/>
      <c r="D228" s="516"/>
      <c r="E228" s="515" t="str">
        <f>'Вышки туры'!A43</f>
        <v>Гантель ограждения (1965мм)</v>
      </c>
      <c r="F228" s="515"/>
      <c r="G228" s="515"/>
      <c r="H228" s="515"/>
      <c r="I228" s="515"/>
      <c r="J228" s="515"/>
      <c r="K228" s="515"/>
      <c r="L228" s="515"/>
      <c r="M228" s="515"/>
      <c r="N228" s="515"/>
      <c r="O228" s="515"/>
      <c r="P228" s="515"/>
      <c r="Q228" s="515"/>
      <c r="R228" s="515"/>
      <c r="S228" s="515"/>
      <c r="T228" s="515"/>
      <c r="U228" s="515"/>
      <c r="V228" s="515"/>
      <c r="W228" s="515"/>
      <c r="X228" s="515"/>
      <c r="Y228" s="510">
        <v>50</v>
      </c>
      <c r="Z228" s="510"/>
      <c r="AA228" s="510"/>
      <c r="AB228" s="510"/>
      <c r="AC228" s="510"/>
      <c r="AD228" s="510"/>
      <c r="AE228" s="510"/>
      <c r="AF228" s="510"/>
      <c r="AG228" s="510"/>
      <c r="AH228" s="510"/>
      <c r="AI228" s="524" t="s">
        <v>431</v>
      </c>
      <c r="AJ228" s="524"/>
      <c r="AK228" s="524"/>
      <c r="AL228" s="524"/>
      <c r="AM228" s="524"/>
      <c r="AN228" s="524"/>
      <c r="AO228" s="524"/>
      <c r="AP228" s="524"/>
      <c r="AQ228" s="524"/>
      <c r="AR228" s="524"/>
      <c r="AS228" s="524"/>
      <c r="AV228" s="93">
        <v>50</v>
      </c>
    </row>
    <row r="229" spans="1:48">
      <c r="A229" s="516">
        <v>8</v>
      </c>
      <c r="B229" s="516"/>
      <c r="C229" s="516"/>
      <c r="D229" s="516"/>
      <c r="E229" s="515" t="str">
        <f>'Вышки туры'!A45</f>
        <v>Настил без люка (1995мм х 525мм)</v>
      </c>
      <c r="F229" s="515"/>
      <c r="G229" s="515"/>
      <c r="H229" s="515"/>
      <c r="I229" s="515"/>
      <c r="J229" s="515"/>
      <c r="K229" s="515"/>
      <c r="L229" s="515"/>
      <c r="M229" s="515"/>
      <c r="N229" s="515"/>
      <c r="O229" s="515"/>
      <c r="P229" s="515"/>
      <c r="Q229" s="515"/>
      <c r="R229" s="515"/>
      <c r="S229" s="515"/>
      <c r="T229" s="515"/>
      <c r="U229" s="515"/>
      <c r="V229" s="515"/>
      <c r="W229" s="515"/>
      <c r="X229" s="515"/>
      <c r="Y229" s="510">
        <v>300</v>
      </c>
      <c r="Z229" s="510"/>
      <c r="AA229" s="510"/>
      <c r="AB229" s="510"/>
      <c r="AC229" s="510"/>
      <c r="AD229" s="510"/>
      <c r="AE229" s="510"/>
      <c r="AF229" s="510"/>
      <c r="AG229" s="510"/>
      <c r="AH229" s="510"/>
      <c r="AI229" s="524" t="s">
        <v>429</v>
      </c>
      <c r="AJ229" s="524"/>
      <c r="AK229" s="524"/>
      <c r="AL229" s="524"/>
      <c r="AM229" s="524"/>
      <c r="AN229" s="524"/>
      <c r="AO229" s="524"/>
      <c r="AP229" s="524"/>
      <c r="AQ229" s="524"/>
      <c r="AR229" s="524"/>
      <c r="AS229" s="524"/>
      <c r="AV229" s="93">
        <v>500</v>
      </c>
    </row>
    <row r="230" spans="1:48">
      <c r="A230" s="516">
        <v>9</v>
      </c>
      <c r="B230" s="516"/>
      <c r="C230" s="516"/>
      <c r="D230" s="516"/>
      <c r="E230" s="515" t="str">
        <f>'Вышки туры'!A46</f>
        <v>Настил с люком (1995мм х 525мм)</v>
      </c>
      <c r="F230" s="515"/>
      <c r="G230" s="515"/>
      <c r="H230" s="515"/>
      <c r="I230" s="515"/>
      <c r="J230" s="515"/>
      <c r="K230" s="515"/>
      <c r="L230" s="515"/>
      <c r="M230" s="515"/>
      <c r="N230" s="515"/>
      <c r="O230" s="515"/>
      <c r="P230" s="515"/>
      <c r="Q230" s="515"/>
      <c r="R230" s="515"/>
      <c r="S230" s="515"/>
      <c r="T230" s="515"/>
      <c r="U230" s="515"/>
      <c r="V230" s="515"/>
      <c r="W230" s="515"/>
      <c r="X230" s="515"/>
      <c r="Y230" s="510">
        <v>300</v>
      </c>
      <c r="Z230" s="510"/>
      <c r="AA230" s="510"/>
      <c r="AB230" s="510"/>
      <c r="AC230" s="510"/>
      <c r="AD230" s="510"/>
      <c r="AE230" s="510"/>
      <c r="AF230" s="510"/>
      <c r="AG230" s="510"/>
      <c r="AH230" s="510"/>
      <c r="AI230" s="524" t="s">
        <v>429</v>
      </c>
      <c r="AJ230" s="524"/>
      <c r="AK230" s="524"/>
      <c r="AL230" s="524"/>
      <c r="AM230" s="524"/>
      <c r="AN230" s="524"/>
      <c r="AO230" s="524"/>
      <c r="AP230" s="524"/>
      <c r="AQ230" s="524"/>
      <c r="AR230" s="524"/>
      <c r="AS230" s="524"/>
      <c r="AV230" s="93">
        <v>500</v>
      </c>
    </row>
    <row r="231" spans="1:48">
      <c r="A231" s="236"/>
      <c r="B231" s="236"/>
      <c r="C231" s="236"/>
      <c r="D231" s="236"/>
      <c r="E231" s="237"/>
      <c r="F231" s="237"/>
      <c r="G231" s="237"/>
      <c r="H231" s="237"/>
      <c r="I231" s="237"/>
      <c r="J231" s="237"/>
      <c r="K231" s="237"/>
      <c r="L231" s="237"/>
      <c r="M231" s="237"/>
      <c r="N231" s="237"/>
      <c r="O231" s="237"/>
      <c r="P231" s="237"/>
      <c r="Q231" s="237"/>
      <c r="R231" s="237"/>
      <c r="S231" s="237"/>
      <c r="T231" s="237"/>
      <c r="U231" s="237"/>
      <c r="V231" s="237"/>
      <c r="W231" s="237"/>
      <c r="X231" s="237"/>
      <c r="Y231" s="240"/>
      <c r="Z231" s="240"/>
      <c r="AA231" s="240"/>
      <c r="AB231" s="240"/>
      <c r="AC231" s="240"/>
      <c r="AD231" s="240"/>
      <c r="AE231" s="240"/>
      <c r="AF231" s="240"/>
      <c r="AG231" s="240"/>
      <c r="AH231" s="240"/>
    </row>
    <row r="232" spans="1:48">
      <c r="A232" s="517" t="s">
        <v>403</v>
      </c>
      <c r="B232" s="517"/>
      <c r="C232" s="517"/>
      <c r="D232" s="517"/>
      <c r="E232" s="517"/>
      <c r="F232" s="517"/>
      <c r="G232" s="517"/>
      <c r="H232" s="517"/>
      <c r="I232" s="517"/>
      <c r="J232" s="517"/>
      <c r="K232" s="517"/>
      <c r="L232" s="517"/>
      <c r="M232" s="517"/>
      <c r="N232" s="517"/>
      <c r="O232" s="517"/>
      <c r="P232" s="517"/>
      <c r="Q232" s="517"/>
      <c r="R232" s="517"/>
      <c r="S232" s="517"/>
      <c r="T232" s="517"/>
      <c r="U232" s="517"/>
      <c r="V232" s="517"/>
      <c r="W232" s="517"/>
      <c r="X232" s="517"/>
      <c r="Y232" s="517"/>
      <c r="Z232" s="517"/>
      <c r="AA232" s="517"/>
      <c r="AB232" s="517"/>
      <c r="AC232" s="517"/>
      <c r="AD232" s="517"/>
      <c r="AE232" s="517"/>
      <c r="AF232" s="517"/>
      <c r="AG232" s="517"/>
      <c r="AH232" s="517"/>
      <c r="AI232" s="517"/>
      <c r="AJ232" s="517"/>
      <c r="AK232" s="517"/>
      <c r="AL232" s="517"/>
      <c r="AM232" s="517"/>
      <c r="AN232" s="517"/>
      <c r="AO232" s="517"/>
      <c r="AP232" s="517"/>
      <c r="AQ232" s="517"/>
      <c r="AR232" s="517"/>
      <c r="AS232" s="517"/>
    </row>
    <row r="233" spans="1:48">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219"/>
      <c r="AH233" s="219"/>
      <c r="AI233" s="219"/>
      <c r="AJ233" s="219"/>
      <c r="AK233" s="219"/>
      <c r="AL233" s="219"/>
      <c r="AM233" s="219"/>
      <c r="AN233" s="219"/>
      <c r="AO233" s="219"/>
      <c r="AP233" s="219"/>
      <c r="AQ233" s="219"/>
      <c r="AR233" s="219"/>
      <c r="AS233" s="219"/>
    </row>
    <row r="234" spans="1:48">
      <c r="A234" s="219"/>
      <c r="B234" s="94" t="s">
        <v>116</v>
      </c>
      <c r="AF234" s="94" t="s">
        <v>117</v>
      </c>
      <c r="AQ234" s="219"/>
      <c r="AR234" s="219"/>
      <c r="AS234" s="219"/>
    </row>
    <row r="235" spans="1:48">
      <c r="A235" s="219"/>
      <c r="AQ235" s="219"/>
      <c r="AR235" s="219"/>
      <c r="AS235" s="219"/>
    </row>
    <row r="236" spans="1:48">
      <c r="A236" s="219"/>
      <c r="B236" s="97"/>
      <c r="C236" s="97"/>
      <c r="D236" s="97"/>
      <c r="E236" s="97"/>
      <c r="F236" s="97"/>
      <c r="G236" s="97"/>
      <c r="H236" s="97"/>
      <c r="I236" s="97"/>
      <c r="J236" s="97"/>
      <c r="K236" s="97"/>
      <c r="L236" s="97"/>
      <c r="AF236" s="97"/>
      <c r="AG236" s="97"/>
      <c r="AH236" s="97"/>
      <c r="AI236" s="97"/>
      <c r="AJ236" s="97"/>
      <c r="AK236" s="97"/>
      <c r="AL236" s="97"/>
      <c r="AM236" s="97"/>
      <c r="AN236" s="97"/>
      <c r="AO236" s="97"/>
      <c r="AP236" s="97"/>
      <c r="AQ236" s="219"/>
      <c r="AR236" s="219"/>
      <c r="AS236" s="219"/>
    </row>
    <row r="237" spans="1:48">
      <c r="A237" s="219"/>
      <c r="AQ237" s="219"/>
      <c r="AR237" s="219"/>
      <c r="AS237" s="219"/>
    </row>
    <row r="238" spans="1:48">
      <c r="B238" s="94" t="s">
        <v>118</v>
      </c>
      <c r="AF238" s="94" t="s">
        <v>118</v>
      </c>
    </row>
    <row r="240" spans="1:48">
      <c r="A240" s="544" t="str">
        <f ca="1">CONCATENATE("Приложение №4 к договору аренды оборудования №",ДляДоговора!B2)</f>
        <v>Приложение №4 к договору аренды оборудования №30/03-А(23)</v>
      </c>
      <c r="B240" s="544"/>
      <c r="C240" s="544"/>
      <c r="D240" s="544"/>
      <c r="E240" s="544"/>
      <c r="F240" s="544"/>
      <c r="G240" s="544"/>
      <c r="H240" s="544"/>
      <c r="I240" s="544"/>
      <c r="J240" s="544"/>
      <c r="K240" s="544"/>
      <c r="L240" s="544"/>
      <c r="M240" s="544"/>
      <c r="N240" s="544"/>
      <c r="O240" s="544"/>
      <c r="P240" s="544"/>
      <c r="Q240" s="544"/>
      <c r="R240" s="544"/>
      <c r="S240" s="544"/>
      <c r="T240" s="544"/>
      <c r="U240" s="544"/>
      <c r="V240" s="544"/>
      <c r="W240" s="544"/>
      <c r="X240" s="544"/>
      <c r="Y240" s="544"/>
      <c r="Z240" s="544"/>
      <c r="AA240" s="544"/>
      <c r="AB240" s="544"/>
      <c r="AC240" s="544"/>
      <c r="AD240" s="544"/>
      <c r="AE240" s="544"/>
      <c r="AF240" s="544"/>
      <c r="AG240" s="544"/>
      <c r="AH240" s="544"/>
      <c r="AI240" s="544"/>
      <c r="AJ240" s="544"/>
      <c r="AK240" s="544"/>
      <c r="AL240" s="544"/>
      <c r="AM240" s="544"/>
      <c r="AN240" s="544"/>
      <c r="AO240" s="544"/>
      <c r="AP240" s="544"/>
      <c r="AQ240" s="544"/>
      <c r="AR240" s="544"/>
      <c r="AS240" s="544"/>
    </row>
    <row r="241" spans="1:46">
      <c r="AL241" s="197" t="str">
        <f ca="1">CONCATENATE("от ",ДляДоговора!B3)</f>
        <v>от 30 марта 2023г.</v>
      </c>
    </row>
    <row r="242" spans="1:46">
      <c r="V242" s="88"/>
    </row>
    <row r="243" spans="1:46">
      <c r="A243" s="545" t="str">
        <f>CONCATENATE("АКТ №",AV127," ПРИЕМА-ПЕРЕДАЧИ (ВОЗВРАТА) ОБОРУДОВАНИЯ")</f>
        <v>АКТ №1 ПРИЕМА-ПЕРЕДАЧИ (ВОЗВРАТА) ОБОРУДОВАНИЯ</v>
      </c>
      <c r="B243" s="545"/>
      <c r="C243" s="545"/>
      <c r="D243" s="545"/>
      <c r="E243" s="545"/>
      <c r="F243" s="545"/>
      <c r="G243" s="545"/>
      <c r="H243" s="545"/>
      <c r="I243" s="545"/>
      <c r="J243" s="545"/>
      <c r="K243" s="545"/>
      <c r="L243" s="545"/>
      <c r="M243" s="545"/>
      <c r="N243" s="545"/>
      <c r="O243" s="545"/>
      <c r="P243" s="545"/>
      <c r="Q243" s="545"/>
      <c r="R243" s="545"/>
      <c r="S243" s="545"/>
      <c r="T243" s="545"/>
      <c r="U243" s="545"/>
      <c r="V243" s="545"/>
      <c r="W243" s="545"/>
      <c r="X243" s="545"/>
      <c r="Y243" s="545"/>
      <c r="Z243" s="545"/>
      <c r="AA243" s="545"/>
      <c r="AB243" s="545"/>
      <c r="AC243" s="545"/>
      <c r="AD243" s="545"/>
      <c r="AE243" s="545"/>
      <c r="AF243" s="545"/>
      <c r="AG243" s="545"/>
      <c r="AH243" s="545"/>
      <c r="AI243" s="545"/>
      <c r="AJ243" s="545"/>
      <c r="AK243" s="545"/>
      <c r="AL243" s="545"/>
      <c r="AM243" s="545"/>
      <c r="AN243" s="545"/>
      <c r="AO243" s="545"/>
      <c r="AP243" s="545"/>
      <c r="AQ243" s="545"/>
      <c r="AR243" s="545"/>
      <c r="AS243" s="545"/>
    </row>
    <row r="244" spans="1:46">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c r="AK244" s="230"/>
      <c r="AL244" s="230"/>
      <c r="AM244" s="230"/>
      <c r="AN244" s="230"/>
      <c r="AO244" s="230"/>
      <c r="AP244" s="230"/>
      <c r="AQ244" s="230"/>
      <c r="AR244" s="230"/>
      <c r="AS244" s="230"/>
    </row>
    <row r="245" spans="1:46">
      <c r="A245" s="94" t="str">
        <f>ДляДоговора!B22</f>
        <v>г. Екатеринбург</v>
      </c>
      <c r="AH245" s="93" t="str">
        <f ca="1">CONCATENATE("«_____» _________ ",ДляДоговора!E4,"г.")</f>
        <v>«_____» _________ 2023г.</v>
      </c>
    </row>
    <row r="247" spans="1:46" ht="66" customHeight="1">
      <c r="A247" s="546" t="str">
        <f>CONCATENATE("ООО «УПСК», именуемое в дальнейшем «Арендодатель», в лице ",BX3," действующего на основании Устава, с одной стороны, и ",ДляДоговора!B4,", именуемое в дальнейшем «Арендатор», в лице ",ДляДоговора!B5," ",ДляДоговора!B6," действующего на основании ",ДляДоговора!B7,ДляДоговора!B8,", с другой стороны, составили настоящий Акт приема-передачи о нижеследующем:")</f>
        <v>ООО «УПСК», именуемое в дальнейшем «Арендодатель», в лице Выборных Андрея Павловича действующего на основании Устава, с одной стороны, и ООО "Эдвако-Инжиниринг", именуемое в дальнейшем «Арендатор», в лице генерального директора Коряжбина Эдуарда Васильевича действующего на основании Устава, с другой стороны, составили настоящий Акт приема-передачи о нижеследующем:</v>
      </c>
      <c r="B247" s="546"/>
      <c r="C247" s="546"/>
      <c r="D247" s="546"/>
      <c r="E247" s="546"/>
      <c r="F247" s="546"/>
      <c r="G247" s="546"/>
      <c r="H247" s="546"/>
      <c r="I247" s="546"/>
      <c r="J247" s="546"/>
      <c r="K247" s="546"/>
      <c r="L247" s="546"/>
      <c r="M247" s="546"/>
      <c r="N247" s="546"/>
      <c r="O247" s="546"/>
      <c r="P247" s="546"/>
      <c r="Q247" s="546"/>
      <c r="R247" s="546"/>
      <c r="S247" s="546"/>
      <c r="T247" s="546"/>
      <c r="U247" s="546"/>
      <c r="V247" s="546"/>
      <c r="W247" s="546"/>
      <c r="X247" s="546"/>
      <c r="Y247" s="546"/>
      <c r="Z247" s="546"/>
      <c r="AA247" s="546"/>
      <c r="AB247" s="546"/>
      <c r="AC247" s="546"/>
      <c r="AD247" s="546"/>
      <c r="AE247" s="546"/>
      <c r="AF247" s="546"/>
      <c r="AG247" s="546"/>
      <c r="AH247" s="546"/>
      <c r="AI247" s="546"/>
      <c r="AJ247" s="546"/>
      <c r="AK247" s="546"/>
      <c r="AL247" s="546"/>
      <c r="AM247" s="546"/>
      <c r="AN247" s="546"/>
      <c r="AO247" s="546"/>
      <c r="AP247" s="546"/>
      <c r="AQ247" s="546"/>
      <c r="AR247" s="546"/>
      <c r="AS247" s="546"/>
    </row>
    <row r="248" spans="1:46" ht="30" customHeight="1">
      <c r="A248" s="543" t="s">
        <v>423</v>
      </c>
      <c r="B248" s="543"/>
      <c r="C248" s="543"/>
      <c r="D248" s="543"/>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c r="AA248" s="543"/>
      <c r="AB248" s="543"/>
      <c r="AC248" s="543"/>
      <c r="AD248" s="543"/>
      <c r="AE248" s="543"/>
      <c r="AF248" s="543"/>
      <c r="AG248" s="543"/>
      <c r="AH248" s="543"/>
      <c r="AI248" s="543"/>
      <c r="AJ248" s="543"/>
      <c r="AK248" s="543"/>
      <c r="AL248" s="543"/>
      <c r="AM248" s="543"/>
      <c r="AN248" s="543"/>
      <c r="AO248" s="543"/>
      <c r="AP248" s="543"/>
      <c r="AQ248" s="543"/>
      <c r="AR248" s="543"/>
      <c r="AS248" s="543"/>
      <c r="AT248" s="543"/>
    </row>
    <row r="249" spans="1:46">
      <c r="A249" s="217"/>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17"/>
      <c r="AH249" s="217"/>
      <c r="AI249" s="217"/>
      <c r="AJ249" s="217"/>
      <c r="AK249" s="217"/>
      <c r="AL249" s="217"/>
      <c r="AM249" s="217"/>
      <c r="AN249" s="217"/>
      <c r="AO249" s="217"/>
      <c r="AP249" s="217"/>
      <c r="AQ249" s="217"/>
      <c r="AR249" s="217"/>
      <c r="AS249" s="217"/>
      <c r="AT249" s="217"/>
    </row>
    <row r="250" spans="1:46" ht="27.75" customHeight="1">
      <c r="A250" s="537" t="s">
        <v>121</v>
      </c>
      <c r="B250" s="537"/>
      <c r="C250" s="537"/>
      <c r="D250" s="539"/>
      <c r="E250" s="537" t="s">
        <v>31</v>
      </c>
      <c r="F250" s="537"/>
      <c r="G250" s="537"/>
      <c r="H250" s="537"/>
      <c r="I250" s="537"/>
      <c r="J250" s="537"/>
      <c r="K250" s="537"/>
      <c r="L250" s="537"/>
      <c r="M250" s="537"/>
      <c r="N250" s="537"/>
      <c r="O250" s="537"/>
      <c r="P250" s="537"/>
      <c r="Q250" s="537"/>
      <c r="R250" s="536" t="s">
        <v>547</v>
      </c>
      <c r="S250" s="537"/>
      <c r="T250" s="537"/>
      <c r="U250" s="537"/>
      <c r="V250" s="537"/>
      <c r="W250" s="537"/>
      <c r="X250" s="536" t="s">
        <v>545</v>
      </c>
      <c r="Y250" s="537"/>
      <c r="Z250" s="537"/>
      <c r="AA250" s="537"/>
      <c r="AB250" s="537"/>
      <c r="AC250" s="537"/>
      <c r="AD250" s="536" t="s">
        <v>546</v>
      </c>
      <c r="AE250" s="536"/>
      <c r="AF250" s="536"/>
      <c r="AG250" s="536"/>
      <c r="AH250" s="536"/>
      <c r="AI250" s="536" t="s">
        <v>122</v>
      </c>
      <c r="AJ250" s="536"/>
      <c r="AK250" s="536"/>
      <c r="AL250" s="536"/>
      <c r="AM250" s="536"/>
      <c r="AN250" s="536"/>
      <c r="AO250" s="536" t="s">
        <v>472</v>
      </c>
      <c r="AP250" s="537"/>
      <c r="AQ250" s="537"/>
      <c r="AR250" s="537"/>
      <c r="AS250" s="537"/>
    </row>
    <row r="251" spans="1:46" ht="15.75" customHeight="1">
      <c r="A251" s="530">
        <v>1</v>
      </c>
      <c r="B251" s="530"/>
      <c r="C251" s="530"/>
      <c r="D251" s="531"/>
      <c r="E251" s="706" t="s">
        <v>241</v>
      </c>
      <c r="F251" s="706"/>
      <c r="G251" s="706"/>
      <c r="H251" s="706"/>
      <c r="I251" s="706"/>
      <c r="J251" s="706"/>
      <c r="K251" s="706"/>
      <c r="L251" s="706"/>
      <c r="M251" s="706"/>
      <c r="N251" s="706"/>
      <c r="O251" s="706"/>
      <c r="P251" s="706"/>
      <c r="Q251" s="706"/>
      <c r="R251" s="538">
        <f>'Вышки туры'!D36</f>
        <v>2</v>
      </c>
      <c r="S251" s="538"/>
      <c r="T251" s="538"/>
      <c r="U251" s="538"/>
      <c r="V251" s="538"/>
      <c r="W251" s="538"/>
      <c r="X251" s="538"/>
      <c r="Y251" s="538"/>
      <c r="Z251" s="538"/>
      <c r="AA251" s="538"/>
      <c r="AB251" s="538"/>
      <c r="AC251" s="538"/>
      <c r="AD251" s="530"/>
      <c r="AE251" s="530"/>
      <c r="AF251" s="530"/>
      <c r="AG251" s="530"/>
      <c r="AH251" s="530"/>
      <c r="AI251" s="542">
        <f>AF135</f>
        <v>4160</v>
      </c>
      <c r="AJ251" s="542"/>
      <c r="AK251" s="542"/>
      <c r="AL251" s="542"/>
      <c r="AM251" s="542"/>
      <c r="AN251" s="542"/>
      <c r="AO251" s="537"/>
      <c r="AP251" s="537"/>
      <c r="AQ251" s="537"/>
      <c r="AR251" s="537"/>
      <c r="AS251" s="537"/>
    </row>
    <row r="252" spans="1:46" ht="15.75" customHeight="1">
      <c r="A252" s="530">
        <v>2</v>
      </c>
      <c r="B252" s="530"/>
      <c r="C252" s="530"/>
      <c r="D252" s="531"/>
      <c r="E252" s="706" t="str">
        <f>E223</f>
        <v>Лестница секции (1160мм х 1214мм)</v>
      </c>
      <c r="F252" s="706"/>
      <c r="G252" s="706"/>
      <c r="H252" s="706"/>
      <c r="I252" s="706"/>
      <c r="J252" s="706"/>
      <c r="K252" s="706"/>
      <c r="L252" s="706"/>
      <c r="M252" s="706"/>
      <c r="N252" s="706"/>
      <c r="O252" s="706"/>
      <c r="P252" s="706"/>
      <c r="Q252" s="706"/>
      <c r="R252" s="538">
        <f>'Вышки туры'!D37</f>
        <v>6</v>
      </c>
      <c r="S252" s="538"/>
      <c r="T252" s="538"/>
      <c r="U252" s="538"/>
      <c r="V252" s="538"/>
      <c r="W252" s="538"/>
      <c r="X252" s="538"/>
      <c r="Y252" s="538"/>
      <c r="Z252" s="538"/>
      <c r="AA252" s="538"/>
      <c r="AB252" s="538"/>
      <c r="AC252" s="538"/>
      <c r="AD252" s="530"/>
      <c r="AE252" s="530"/>
      <c r="AF252" s="530"/>
      <c r="AG252" s="530"/>
      <c r="AH252" s="530"/>
      <c r="AI252" s="542">
        <f t="shared" ref="AI252:AI259" si="3">AF136</f>
        <v>1300</v>
      </c>
      <c r="AJ252" s="542"/>
      <c r="AK252" s="542"/>
      <c r="AL252" s="542"/>
      <c r="AM252" s="542"/>
      <c r="AN252" s="542"/>
      <c r="AO252" s="537"/>
      <c r="AP252" s="537"/>
      <c r="AQ252" s="537"/>
      <c r="AR252" s="537"/>
      <c r="AS252" s="537"/>
    </row>
    <row r="253" spans="1:46" ht="15.75" customHeight="1">
      <c r="A253" s="530">
        <v>3</v>
      </c>
      <c r="B253" s="530"/>
      <c r="C253" s="530"/>
      <c r="D253" s="531"/>
      <c r="E253" s="706" t="s">
        <v>243</v>
      </c>
      <c r="F253" s="706"/>
      <c r="G253" s="706"/>
      <c r="H253" s="706"/>
      <c r="I253" s="706"/>
      <c r="J253" s="706"/>
      <c r="K253" s="706"/>
      <c r="L253" s="706"/>
      <c r="M253" s="706"/>
      <c r="N253" s="706"/>
      <c r="O253" s="706"/>
      <c r="P253" s="706"/>
      <c r="Q253" s="706"/>
      <c r="R253" s="538">
        <f>'Вышки туры'!D38</f>
        <v>1</v>
      </c>
      <c r="S253" s="538"/>
      <c r="T253" s="538"/>
      <c r="U253" s="538"/>
      <c r="V253" s="538"/>
      <c r="W253" s="538"/>
      <c r="X253" s="538"/>
      <c r="Y253" s="538"/>
      <c r="Z253" s="538"/>
      <c r="AA253" s="538"/>
      <c r="AB253" s="538"/>
      <c r="AC253" s="538"/>
      <c r="AD253" s="530"/>
      <c r="AE253" s="530"/>
      <c r="AF253" s="530"/>
      <c r="AG253" s="530"/>
      <c r="AH253" s="530"/>
      <c r="AI253" s="542">
        <f t="shared" si="3"/>
        <v>630</v>
      </c>
      <c r="AJ253" s="542"/>
      <c r="AK253" s="542"/>
      <c r="AL253" s="542"/>
      <c r="AM253" s="542"/>
      <c r="AN253" s="542"/>
      <c r="AO253" s="537"/>
      <c r="AP253" s="537"/>
      <c r="AQ253" s="537"/>
      <c r="AR253" s="537"/>
      <c r="AS253" s="537"/>
    </row>
    <row r="254" spans="1:46" ht="15.75" customHeight="1">
      <c r="A254" s="530">
        <v>4</v>
      </c>
      <c r="B254" s="530"/>
      <c r="C254" s="530"/>
      <c r="D254" s="531"/>
      <c r="E254" s="706" t="s">
        <v>244</v>
      </c>
      <c r="F254" s="706"/>
      <c r="G254" s="706"/>
      <c r="H254" s="706"/>
      <c r="I254" s="706"/>
      <c r="J254" s="706"/>
      <c r="K254" s="706"/>
      <c r="L254" s="706"/>
      <c r="M254" s="706"/>
      <c r="N254" s="706"/>
      <c r="O254" s="706"/>
      <c r="P254" s="706"/>
      <c r="Q254" s="706"/>
      <c r="R254" s="538">
        <f>'Вышки туры'!D39</f>
        <v>4</v>
      </c>
      <c r="S254" s="538"/>
      <c r="T254" s="538"/>
      <c r="U254" s="538"/>
      <c r="V254" s="538"/>
      <c r="W254" s="538"/>
      <c r="X254" s="538"/>
      <c r="Y254" s="538"/>
      <c r="Z254" s="538"/>
      <c r="AA254" s="538"/>
      <c r="AB254" s="538"/>
      <c r="AC254" s="538"/>
      <c r="AD254" s="530"/>
      <c r="AE254" s="530"/>
      <c r="AF254" s="530"/>
      <c r="AG254" s="530"/>
      <c r="AH254" s="530"/>
      <c r="AI254" s="542">
        <f t="shared" si="3"/>
        <v>860</v>
      </c>
      <c r="AJ254" s="542"/>
      <c r="AK254" s="542"/>
      <c r="AL254" s="542"/>
      <c r="AM254" s="542"/>
      <c r="AN254" s="542"/>
      <c r="AO254" s="537"/>
      <c r="AP254" s="537"/>
      <c r="AQ254" s="537"/>
      <c r="AR254" s="537"/>
      <c r="AS254" s="537"/>
    </row>
    <row r="255" spans="1:46" ht="15.75" customHeight="1">
      <c r="A255" s="530">
        <v>5</v>
      </c>
      <c r="B255" s="530"/>
      <c r="C255" s="530"/>
      <c r="D255" s="531"/>
      <c r="E255" s="706" t="s">
        <v>245</v>
      </c>
      <c r="F255" s="706"/>
      <c r="G255" s="706"/>
      <c r="H255" s="706"/>
      <c r="I255" s="706"/>
      <c r="J255" s="706"/>
      <c r="K255" s="706"/>
      <c r="L255" s="706"/>
      <c r="M255" s="706"/>
      <c r="N255" s="706"/>
      <c r="O255" s="706"/>
      <c r="P255" s="706"/>
      <c r="Q255" s="706"/>
      <c r="R255" s="538">
        <f>'Вышки туры'!D40</f>
        <v>24</v>
      </c>
      <c r="S255" s="538"/>
      <c r="T255" s="538"/>
      <c r="U255" s="538"/>
      <c r="V255" s="538"/>
      <c r="W255" s="538"/>
      <c r="X255" s="538"/>
      <c r="Y255" s="538"/>
      <c r="Z255" s="538"/>
      <c r="AA255" s="538"/>
      <c r="AB255" s="538"/>
      <c r="AC255" s="538"/>
      <c r="AD255" s="530"/>
      <c r="AE255" s="530"/>
      <c r="AF255" s="530"/>
      <c r="AG255" s="530"/>
      <c r="AH255" s="530"/>
      <c r="AI255" s="542">
        <f t="shared" si="3"/>
        <v>140</v>
      </c>
      <c r="AJ255" s="542"/>
      <c r="AK255" s="542"/>
      <c r="AL255" s="542"/>
      <c r="AM255" s="542"/>
      <c r="AN255" s="542"/>
      <c r="AO255" s="537"/>
      <c r="AP255" s="537"/>
      <c r="AQ255" s="537"/>
      <c r="AR255" s="537"/>
      <c r="AS255" s="537"/>
    </row>
    <row r="256" spans="1:46" ht="15.75" customHeight="1">
      <c r="A256" s="530">
        <v>6</v>
      </c>
      <c r="B256" s="530"/>
      <c r="C256" s="530"/>
      <c r="D256" s="531"/>
      <c r="E256" s="706" t="s">
        <v>246</v>
      </c>
      <c r="F256" s="706"/>
      <c r="G256" s="706"/>
      <c r="H256" s="706"/>
      <c r="I256" s="706"/>
      <c r="J256" s="706"/>
      <c r="K256" s="706"/>
      <c r="L256" s="706"/>
      <c r="M256" s="706"/>
      <c r="N256" s="706"/>
      <c r="O256" s="706"/>
      <c r="P256" s="706"/>
      <c r="Q256" s="706"/>
      <c r="R256" s="538">
        <f>'Вышки туры'!D41</f>
        <v>0</v>
      </c>
      <c r="S256" s="538"/>
      <c r="T256" s="538"/>
      <c r="U256" s="538"/>
      <c r="V256" s="538"/>
      <c r="W256" s="538"/>
      <c r="X256" s="538"/>
      <c r="Y256" s="538"/>
      <c r="Z256" s="538"/>
      <c r="AA256" s="538"/>
      <c r="AB256" s="538"/>
      <c r="AC256" s="538"/>
      <c r="AD256" s="530"/>
      <c r="AE256" s="530"/>
      <c r="AF256" s="530"/>
      <c r="AG256" s="530"/>
      <c r="AH256" s="530"/>
      <c r="AI256" s="542">
        <f t="shared" si="3"/>
        <v>860</v>
      </c>
      <c r="AJ256" s="542"/>
      <c r="AK256" s="542"/>
      <c r="AL256" s="542"/>
      <c r="AM256" s="542"/>
      <c r="AN256" s="542"/>
      <c r="AO256" s="537"/>
      <c r="AP256" s="537"/>
      <c r="AQ256" s="537"/>
      <c r="AR256" s="537"/>
      <c r="AS256" s="537"/>
    </row>
    <row r="257" spans="1:45" ht="15.75" customHeight="1">
      <c r="A257" s="530">
        <v>7</v>
      </c>
      <c r="B257" s="530"/>
      <c r="C257" s="530"/>
      <c r="D257" s="531"/>
      <c r="E257" s="706" t="s">
        <v>248</v>
      </c>
      <c r="F257" s="706"/>
      <c r="G257" s="706"/>
      <c r="H257" s="706"/>
      <c r="I257" s="706"/>
      <c r="J257" s="706"/>
      <c r="K257" s="706"/>
      <c r="L257" s="706"/>
      <c r="M257" s="706"/>
      <c r="N257" s="706"/>
      <c r="O257" s="706"/>
      <c r="P257" s="706"/>
      <c r="Q257" s="706"/>
      <c r="R257" s="538">
        <f>'Вышки туры'!D43</f>
        <v>2</v>
      </c>
      <c r="S257" s="538"/>
      <c r="T257" s="538"/>
      <c r="U257" s="538"/>
      <c r="V257" s="538"/>
      <c r="W257" s="538"/>
      <c r="X257" s="538"/>
      <c r="Y257" s="538"/>
      <c r="Z257" s="538"/>
      <c r="AA257" s="538"/>
      <c r="AB257" s="538"/>
      <c r="AC257" s="538"/>
      <c r="AD257" s="530"/>
      <c r="AE257" s="530"/>
      <c r="AF257" s="530"/>
      <c r="AG257" s="530"/>
      <c r="AH257" s="530"/>
      <c r="AI257" s="542">
        <f t="shared" si="3"/>
        <v>860</v>
      </c>
      <c r="AJ257" s="542"/>
      <c r="AK257" s="542"/>
      <c r="AL257" s="542"/>
      <c r="AM257" s="542"/>
      <c r="AN257" s="542"/>
      <c r="AO257" s="537"/>
      <c r="AP257" s="537"/>
      <c r="AQ257" s="537"/>
      <c r="AR257" s="537"/>
      <c r="AS257" s="537"/>
    </row>
    <row r="258" spans="1:45" ht="15.75" customHeight="1">
      <c r="A258" s="530">
        <v>8</v>
      </c>
      <c r="B258" s="530"/>
      <c r="C258" s="530"/>
      <c r="D258" s="531"/>
      <c r="E258" s="706" t="s">
        <v>250</v>
      </c>
      <c r="F258" s="706"/>
      <c r="G258" s="706"/>
      <c r="H258" s="706"/>
      <c r="I258" s="706"/>
      <c r="J258" s="706"/>
      <c r="K258" s="706"/>
      <c r="L258" s="706"/>
      <c r="M258" s="706"/>
      <c r="N258" s="706"/>
      <c r="O258" s="706"/>
      <c r="P258" s="706"/>
      <c r="Q258" s="706"/>
      <c r="R258" s="538">
        <f>'Вышки туры'!D45</f>
        <v>1</v>
      </c>
      <c r="S258" s="538"/>
      <c r="T258" s="538"/>
      <c r="U258" s="538"/>
      <c r="V258" s="538"/>
      <c r="W258" s="538"/>
      <c r="X258" s="538"/>
      <c r="Y258" s="538"/>
      <c r="Z258" s="538"/>
      <c r="AA258" s="538"/>
      <c r="AB258" s="538"/>
      <c r="AC258" s="538"/>
      <c r="AD258" s="530"/>
      <c r="AE258" s="530"/>
      <c r="AF258" s="530"/>
      <c r="AG258" s="530"/>
      <c r="AH258" s="530"/>
      <c r="AI258" s="542">
        <f t="shared" si="3"/>
        <v>4240</v>
      </c>
      <c r="AJ258" s="542"/>
      <c r="AK258" s="542"/>
      <c r="AL258" s="542"/>
      <c r="AM258" s="542"/>
      <c r="AN258" s="542"/>
      <c r="AO258" s="537"/>
      <c r="AP258" s="537"/>
      <c r="AQ258" s="537"/>
      <c r="AR258" s="537"/>
      <c r="AS258" s="537"/>
    </row>
    <row r="259" spans="1:45" ht="15.75" customHeight="1">
      <c r="A259" s="530">
        <v>9</v>
      </c>
      <c r="B259" s="530"/>
      <c r="C259" s="530"/>
      <c r="D259" s="531"/>
      <c r="E259" s="706" t="s">
        <v>251</v>
      </c>
      <c r="F259" s="706"/>
      <c r="G259" s="706"/>
      <c r="H259" s="706"/>
      <c r="I259" s="706"/>
      <c r="J259" s="706"/>
      <c r="K259" s="706"/>
      <c r="L259" s="706"/>
      <c r="M259" s="706"/>
      <c r="N259" s="706"/>
      <c r="O259" s="706"/>
      <c r="P259" s="706"/>
      <c r="Q259" s="706"/>
      <c r="R259" s="538">
        <f>'Вышки туры'!D46</f>
        <v>1</v>
      </c>
      <c r="S259" s="538"/>
      <c r="T259" s="538"/>
      <c r="U259" s="538"/>
      <c r="V259" s="538"/>
      <c r="W259" s="538"/>
      <c r="X259" s="538"/>
      <c r="Y259" s="538"/>
      <c r="Z259" s="538"/>
      <c r="AA259" s="538"/>
      <c r="AB259" s="538"/>
      <c r="AC259" s="538"/>
      <c r="AD259" s="530"/>
      <c r="AE259" s="530"/>
      <c r="AF259" s="530"/>
      <c r="AG259" s="530"/>
      <c r="AH259" s="530"/>
      <c r="AI259" s="542">
        <f t="shared" si="3"/>
        <v>4410</v>
      </c>
      <c r="AJ259" s="542"/>
      <c r="AK259" s="542"/>
      <c r="AL259" s="542"/>
      <c r="AM259" s="542"/>
      <c r="AN259" s="542"/>
      <c r="AO259" s="537"/>
      <c r="AP259" s="537"/>
      <c r="AQ259" s="537"/>
      <c r="AR259" s="537"/>
      <c r="AS259" s="537"/>
    </row>
    <row r="260" spans="1:45">
      <c r="A260" s="525"/>
      <c r="B260" s="525"/>
      <c r="C260" s="525"/>
      <c r="D260" s="526"/>
      <c r="E260" s="527"/>
      <c r="F260" s="528"/>
      <c r="G260" s="528"/>
      <c r="H260" s="528"/>
      <c r="I260" s="528"/>
      <c r="J260" s="528"/>
      <c r="K260" s="528"/>
      <c r="L260" s="528"/>
      <c r="M260" s="528"/>
      <c r="N260" s="528"/>
      <c r="O260" s="528"/>
      <c r="P260" s="528"/>
      <c r="Q260" s="528"/>
      <c r="R260" s="528"/>
      <c r="S260" s="528"/>
      <c r="T260" s="528"/>
      <c r="U260" s="528"/>
      <c r="V260" s="528"/>
      <c r="W260" s="528"/>
      <c r="X260" s="528"/>
      <c r="Y260" s="223"/>
      <c r="Z260" s="223"/>
      <c r="AA260" s="223"/>
      <c r="AB260" s="223"/>
      <c r="AC260" s="223"/>
      <c r="AD260" s="223"/>
      <c r="AE260" s="223"/>
      <c r="AF260" s="224"/>
      <c r="AG260" s="225"/>
      <c r="AH260" s="225"/>
      <c r="AI260" s="532" t="s">
        <v>400</v>
      </c>
      <c r="AJ260" s="532"/>
      <c r="AK260" s="532"/>
      <c r="AL260" s="532"/>
      <c r="AM260" s="532"/>
      <c r="AN260" s="533"/>
      <c r="AO260" s="537"/>
      <c r="AP260" s="537"/>
      <c r="AQ260" s="537"/>
      <c r="AR260" s="537"/>
      <c r="AS260" s="537"/>
    </row>
    <row r="262" spans="1:45">
      <c r="A262" s="543" t="s">
        <v>424</v>
      </c>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c r="AB262" s="543"/>
      <c r="AC262" s="543"/>
      <c r="AD262" s="543"/>
      <c r="AE262" s="543"/>
      <c r="AF262" s="543"/>
      <c r="AG262" s="543"/>
      <c r="AH262" s="543"/>
      <c r="AI262" s="543"/>
      <c r="AJ262" s="543"/>
      <c r="AK262" s="543"/>
      <c r="AL262" s="543"/>
      <c r="AM262" s="543"/>
      <c r="AN262" s="543"/>
      <c r="AO262" s="543"/>
      <c r="AP262" s="543"/>
      <c r="AQ262" s="543"/>
      <c r="AR262" s="543"/>
      <c r="AS262" s="543"/>
    </row>
    <row r="263" spans="1:45">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c r="AB263" s="543"/>
      <c r="AC263" s="543"/>
      <c r="AD263" s="543"/>
      <c r="AE263" s="543"/>
      <c r="AF263" s="543"/>
      <c r="AG263" s="543"/>
      <c r="AH263" s="543"/>
      <c r="AI263" s="543"/>
      <c r="AJ263" s="543"/>
      <c r="AK263" s="543"/>
      <c r="AL263" s="543"/>
      <c r="AM263" s="543"/>
      <c r="AN263" s="543"/>
      <c r="AO263" s="543"/>
      <c r="AP263" s="543"/>
      <c r="AQ263" s="543"/>
      <c r="AR263" s="543"/>
      <c r="AS263" s="543"/>
    </row>
    <row r="264" spans="1:45">
      <c r="A264" s="517" t="s">
        <v>403</v>
      </c>
      <c r="B264" s="517"/>
      <c r="C264" s="517"/>
      <c r="D264" s="517"/>
      <c r="E264" s="517"/>
      <c r="F264" s="517"/>
      <c r="G264" s="517"/>
      <c r="H264" s="517"/>
      <c r="I264" s="517"/>
      <c r="J264" s="517"/>
      <c r="K264" s="517"/>
      <c r="L264" s="517"/>
      <c r="M264" s="517"/>
      <c r="N264" s="517"/>
      <c r="O264" s="517"/>
      <c r="P264" s="517"/>
      <c r="Q264" s="517"/>
      <c r="R264" s="517"/>
      <c r="S264" s="517"/>
      <c r="T264" s="517"/>
      <c r="U264" s="517"/>
      <c r="V264" s="517"/>
      <c r="W264" s="517"/>
      <c r="X264" s="517"/>
      <c r="Y264" s="517"/>
      <c r="Z264" s="517"/>
      <c r="AA264" s="517"/>
      <c r="AB264" s="517"/>
      <c r="AC264" s="517"/>
      <c r="AD264" s="517"/>
      <c r="AE264" s="517"/>
      <c r="AF264" s="517"/>
      <c r="AG264" s="517"/>
      <c r="AH264" s="517"/>
      <c r="AI264" s="517"/>
      <c r="AJ264" s="517"/>
      <c r="AK264" s="517"/>
      <c r="AL264" s="517"/>
      <c r="AM264" s="517"/>
      <c r="AN264" s="517"/>
      <c r="AO264" s="517"/>
      <c r="AP264" s="517"/>
      <c r="AQ264" s="517"/>
      <c r="AR264" s="517"/>
      <c r="AS264" s="517"/>
    </row>
    <row r="265" spans="1:45">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219"/>
      <c r="AH265" s="219"/>
      <c r="AI265" s="219"/>
      <c r="AJ265" s="219"/>
      <c r="AK265" s="219"/>
      <c r="AL265" s="219"/>
      <c r="AM265" s="219"/>
      <c r="AN265" s="219"/>
      <c r="AO265" s="219"/>
      <c r="AP265" s="219"/>
      <c r="AQ265" s="219"/>
      <c r="AR265" s="219"/>
      <c r="AS265" s="219"/>
    </row>
    <row r="266" spans="1:45">
      <c r="A266" s="219"/>
      <c r="B266" s="94" t="s">
        <v>116</v>
      </c>
      <c r="AF266" s="94" t="s">
        <v>117</v>
      </c>
      <c r="AQ266" s="219"/>
      <c r="AR266" s="219"/>
      <c r="AS266" s="219"/>
    </row>
    <row r="267" spans="1:45">
      <c r="A267" s="219"/>
      <c r="AQ267" s="219"/>
      <c r="AR267" s="219"/>
      <c r="AS267" s="219"/>
    </row>
    <row r="268" spans="1:45">
      <c r="A268" s="219"/>
      <c r="B268" s="97"/>
      <c r="C268" s="97"/>
      <c r="D268" s="97"/>
      <c r="E268" s="97"/>
      <c r="F268" s="97"/>
      <c r="G268" s="97"/>
      <c r="H268" s="97"/>
      <c r="I268" s="97"/>
      <c r="J268" s="97"/>
      <c r="K268" s="97"/>
      <c r="L268" s="97"/>
      <c r="AF268" s="97"/>
      <c r="AG268" s="97"/>
      <c r="AH268" s="97"/>
      <c r="AI268" s="97"/>
      <c r="AJ268" s="97"/>
      <c r="AK268" s="97"/>
      <c r="AL268" s="97"/>
      <c r="AM268" s="97"/>
      <c r="AN268" s="97"/>
      <c r="AO268" s="97"/>
      <c r="AP268" s="97"/>
      <c r="AQ268" s="219"/>
      <c r="AR268" s="219"/>
      <c r="AS268" s="219"/>
    </row>
    <row r="269" spans="1:45">
      <c r="A269" s="219"/>
      <c r="AQ269" s="219"/>
      <c r="AR269" s="219"/>
      <c r="AS269" s="219"/>
    </row>
    <row r="270" spans="1:45">
      <c r="B270" s="94" t="s">
        <v>118</v>
      </c>
      <c r="AF270" s="94" t="s">
        <v>118</v>
      </c>
    </row>
  </sheetData>
  <mergeCells count="358">
    <mergeCell ref="R259:W259"/>
    <mergeCell ref="X257:AC257"/>
    <mergeCell ref="X258:AC258"/>
    <mergeCell ref="X259:AC259"/>
    <mergeCell ref="AD257:AH257"/>
    <mergeCell ref="AD258:AH258"/>
    <mergeCell ref="AD259:AH259"/>
    <mergeCell ref="E258:Q258"/>
    <mergeCell ref="R252:W252"/>
    <mergeCell ref="X252:AC252"/>
    <mergeCell ref="AD252:AH252"/>
    <mergeCell ref="R253:W253"/>
    <mergeCell ref="X253:AC253"/>
    <mergeCell ref="AD253:AH253"/>
    <mergeCell ref="R254:W254"/>
    <mergeCell ref="X254:AC254"/>
    <mergeCell ref="AD254:AH254"/>
    <mergeCell ref="R255:W255"/>
    <mergeCell ref="X255:AC255"/>
    <mergeCell ref="AD255:AH255"/>
    <mergeCell ref="R256:W256"/>
    <mergeCell ref="X256:AC256"/>
    <mergeCell ref="AD256:AH256"/>
    <mergeCell ref="R257:W257"/>
    <mergeCell ref="A174:AS174"/>
    <mergeCell ref="R258:W258"/>
    <mergeCell ref="AF139:AL139"/>
    <mergeCell ref="Y136:AE136"/>
    <mergeCell ref="AF136:AL136"/>
    <mergeCell ref="AM136:AS136"/>
    <mergeCell ref="A137:D137"/>
    <mergeCell ref="E137:X137"/>
    <mergeCell ref="Y137:AE137"/>
    <mergeCell ref="AF137:AL137"/>
    <mergeCell ref="AM137:AS137"/>
    <mergeCell ref="A138:D138"/>
    <mergeCell ref="E138:X138"/>
    <mergeCell ref="AM139:AS139"/>
    <mergeCell ref="A139:D139"/>
    <mergeCell ref="E139:X139"/>
    <mergeCell ref="Y139:AE139"/>
    <mergeCell ref="A159:AS159"/>
    <mergeCell ref="A166:AS166"/>
    <mergeCell ref="A169:AS169"/>
    <mergeCell ref="A173:AS173"/>
    <mergeCell ref="A155:AI155"/>
    <mergeCell ref="A151:AL151"/>
    <mergeCell ref="A178:D178"/>
    <mergeCell ref="AM151:AS151"/>
    <mergeCell ref="A152:AL152"/>
    <mergeCell ref="AM152:AS152"/>
    <mergeCell ref="A153:AL153"/>
    <mergeCell ref="A154:AL154"/>
    <mergeCell ref="AM153:AS153"/>
    <mergeCell ref="AM154:AS154"/>
    <mergeCell ref="AM155:AS155"/>
    <mergeCell ref="A157:AS157"/>
    <mergeCell ref="A176:D176"/>
    <mergeCell ref="E176:X176"/>
    <mergeCell ref="Y176:AE176"/>
    <mergeCell ref="AF176:AL176"/>
    <mergeCell ref="AM176:AS176"/>
    <mergeCell ref="A177:D177"/>
    <mergeCell ref="E177:X177"/>
    <mergeCell ref="Y177:AE177"/>
    <mergeCell ref="AF177:AL177"/>
    <mergeCell ref="AM177:AS177"/>
    <mergeCell ref="A181:AS181"/>
    <mergeCell ref="A254:D254"/>
    <mergeCell ref="E254:Q254"/>
    <mergeCell ref="AI254:AN254"/>
    <mergeCell ref="AO254:AS254"/>
    <mergeCell ref="AI191:AS191"/>
    <mergeCell ref="E191:AH191"/>
    <mergeCell ref="A188:D188"/>
    <mergeCell ref="A189:D189"/>
    <mergeCell ref="E188:AH188"/>
    <mergeCell ref="E189:AH189"/>
    <mergeCell ref="AI188:AS188"/>
    <mergeCell ref="AI189:AS189"/>
    <mergeCell ref="A190:D190"/>
    <mergeCell ref="A183:D183"/>
    <mergeCell ref="E186:AH186"/>
    <mergeCell ref="E187:AH187"/>
    <mergeCell ref="A182:D182"/>
    <mergeCell ref="A228:D228"/>
    <mergeCell ref="Y228:AH228"/>
    <mergeCell ref="AI228:AS228"/>
    <mergeCell ref="A232:AS232"/>
    <mergeCell ref="A240:AS240"/>
    <mergeCell ref="A243:AS243"/>
    <mergeCell ref="A255:D255"/>
    <mergeCell ref="E255:Q255"/>
    <mergeCell ref="AI255:AN255"/>
    <mergeCell ref="AO255:AS255"/>
    <mergeCell ref="AI259:AN259"/>
    <mergeCell ref="AO259:AS259"/>
    <mergeCell ref="A262:AS262"/>
    <mergeCell ref="A263:AS263"/>
    <mergeCell ref="A264:AS264"/>
    <mergeCell ref="A260:D260"/>
    <mergeCell ref="E260:X260"/>
    <mergeCell ref="AI260:AN260"/>
    <mergeCell ref="AO260:AS260"/>
    <mergeCell ref="AI256:AN256"/>
    <mergeCell ref="AI257:AN257"/>
    <mergeCell ref="AI258:AN258"/>
    <mergeCell ref="AO256:AS256"/>
    <mergeCell ref="AO257:AS257"/>
    <mergeCell ref="AO258:AS258"/>
    <mergeCell ref="A256:D256"/>
    <mergeCell ref="A257:D257"/>
    <mergeCell ref="A258:D258"/>
    <mergeCell ref="E256:Q256"/>
    <mergeCell ref="E257:Q257"/>
    <mergeCell ref="A259:D259"/>
    <mergeCell ref="E259:Q259"/>
    <mergeCell ref="A250:D250"/>
    <mergeCell ref="E250:Q250"/>
    <mergeCell ref="AI250:AN250"/>
    <mergeCell ref="AO250:AS250"/>
    <mergeCell ref="A251:D251"/>
    <mergeCell ref="E251:Q251"/>
    <mergeCell ref="AI251:AN251"/>
    <mergeCell ref="AO251:AS251"/>
    <mergeCell ref="R250:W250"/>
    <mergeCell ref="X250:AC250"/>
    <mergeCell ref="AD250:AH250"/>
    <mergeCell ref="R251:W251"/>
    <mergeCell ref="X251:AC251"/>
    <mergeCell ref="AD251:AH251"/>
    <mergeCell ref="E252:Q252"/>
    <mergeCell ref="AI252:AN252"/>
    <mergeCell ref="AO252:AS252"/>
    <mergeCell ref="A253:D253"/>
    <mergeCell ref="E253:Q253"/>
    <mergeCell ref="AI253:AN253"/>
    <mergeCell ref="AO253:AS253"/>
    <mergeCell ref="A252:D252"/>
    <mergeCell ref="A247:AS247"/>
    <mergeCell ref="A248:AT248"/>
    <mergeCell ref="E228:X228"/>
    <mergeCell ref="E229:X229"/>
    <mergeCell ref="A229:D229"/>
    <mergeCell ref="E230:X230"/>
    <mergeCell ref="A230:D230"/>
    <mergeCell ref="Y229:AH229"/>
    <mergeCell ref="Y230:AH230"/>
    <mergeCell ref="AI229:AS229"/>
    <mergeCell ref="AI230:AS230"/>
    <mergeCell ref="A225:D225"/>
    <mergeCell ref="E225:X225"/>
    <mergeCell ref="Y225:AH225"/>
    <mergeCell ref="AI225:AS225"/>
    <mergeCell ref="A226:D226"/>
    <mergeCell ref="E226:X226"/>
    <mergeCell ref="Y226:AH226"/>
    <mergeCell ref="AI226:AS226"/>
    <mergeCell ref="A227:D227"/>
    <mergeCell ref="E227:X227"/>
    <mergeCell ref="Y227:AH227"/>
    <mergeCell ref="AI227:AS227"/>
    <mergeCell ref="A222:D222"/>
    <mergeCell ref="E222:X222"/>
    <mergeCell ref="Y222:AH222"/>
    <mergeCell ref="AI222:AS222"/>
    <mergeCell ref="A223:D223"/>
    <mergeCell ref="E223:X223"/>
    <mergeCell ref="Y223:AH223"/>
    <mergeCell ref="AI223:AS223"/>
    <mergeCell ref="A224:D224"/>
    <mergeCell ref="E224:X224"/>
    <mergeCell ref="Y224:AH224"/>
    <mergeCell ref="AI224:AS224"/>
    <mergeCell ref="A215:AS215"/>
    <mergeCell ref="A216:AS216"/>
    <mergeCell ref="A217:AS217"/>
    <mergeCell ref="A218:AS218"/>
    <mergeCell ref="A219:AS219"/>
    <mergeCell ref="A220:AS220"/>
    <mergeCell ref="A221:D221"/>
    <mergeCell ref="E221:X221"/>
    <mergeCell ref="Y221:AH221"/>
    <mergeCell ref="AI221:AS221"/>
    <mergeCell ref="A193:AS193"/>
    <mergeCell ref="A194:AS194"/>
    <mergeCell ref="A195:AS195"/>
    <mergeCell ref="A196:AS196"/>
    <mergeCell ref="A197:AS197"/>
    <mergeCell ref="A198:AS198"/>
    <mergeCell ref="A199:AS199"/>
    <mergeCell ref="A207:AS207"/>
    <mergeCell ref="A210:AS210"/>
    <mergeCell ref="A191:D191"/>
    <mergeCell ref="AF179:AL179"/>
    <mergeCell ref="AM179:AS179"/>
    <mergeCell ref="A180:D180"/>
    <mergeCell ref="E180:X180"/>
    <mergeCell ref="Y180:AE180"/>
    <mergeCell ref="AF180:AL180"/>
    <mergeCell ref="AM180:AS180"/>
    <mergeCell ref="E190:AH190"/>
    <mergeCell ref="AI190:AS190"/>
    <mergeCell ref="A184:D184"/>
    <mergeCell ref="A185:D185"/>
    <mergeCell ref="A186:D186"/>
    <mergeCell ref="A187:D187"/>
    <mergeCell ref="E182:AH182"/>
    <mergeCell ref="AI182:AS182"/>
    <mergeCell ref="AI183:AS183"/>
    <mergeCell ref="AI184:AS184"/>
    <mergeCell ref="AI185:AS185"/>
    <mergeCell ref="AI186:AS186"/>
    <mergeCell ref="AI187:AS187"/>
    <mergeCell ref="E183:AH183"/>
    <mergeCell ref="E184:AH184"/>
    <mergeCell ref="E185:AH185"/>
    <mergeCell ref="A144:D144"/>
    <mergeCell ref="E144:X144"/>
    <mergeCell ref="Y144:AE144"/>
    <mergeCell ref="AF144:AL144"/>
    <mergeCell ref="AM144:AS144"/>
    <mergeCell ref="A146:AS146"/>
    <mergeCell ref="C147:AS147"/>
    <mergeCell ref="C148:AS148"/>
    <mergeCell ref="C149:AS149"/>
    <mergeCell ref="A140:D140"/>
    <mergeCell ref="E140:X140"/>
    <mergeCell ref="Y140:AE140"/>
    <mergeCell ref="AF140:AL140"/>
    <mergeCell ref="AM140:AS140"/>
    <mergeCell ref="A142:D142"/>
    <mergeCell ref="A143:D143"/>
    <mergeCell ref="E141:X141"/>
    <mergeCell ref="E143:X143"/>
    <mergeCell ref="E142:X142"/>
    <mergeCell ref="Y141:AE141"/>
    <mergeCell ref="Y142:AE142"/>
    <mergeCell ref="Y143:AE143"/>
    <mergeCell ref="AF141:AL141"/>
    <mergeCell ref="AF142:AL142"/>
    <mergeCell ref="AF143:AL143"/>
    <mergeCell ref="AM141:AS141"/>
    <mergeCell ref="AM142:AS142"/>
    <mergeCell ref="AM143:AS143"/>
    <mergeCell ref="A141:D141"/>
    <mergeCell ref="A92:AS92"/>
    <mergeCell ref="Y138:AE138"/>
    <mergeCell ref="AF138:AL138"/>
    <mergeCell ref="AM138:AS138"/>
    <mergeCell ref="A93:AS93"/>
    <mergeCell ref="A94:AS94"/>
    <mergeCell ref="A95:AS95"/>
    <mergeCell ref="A96:AS96"/>
    <mergeCell ref="A97:AS97"/>
    <mergeCell ref="A99:AS99"/>
    <mergeCell ref="A128:AS128"/>
    <mergeCell ref="E136:X136"/>
    <mergeCell ref="Y135:AE135"/>
    <mergeCell ref="AF135:AL135"/>
    <mergeCell ref="AM135:AS135"/>
    <mergeCell ref="A136:D136"/>
    <mergeCell ref="A76:AS76"/>
    <mergeCell ref="A77:AS77"/>
    <mergeCell ref="A78:AS78"/>
    <mergeCell ref="A80:AS80"/>
    <mergeCell ref="A81:AS81"/>
    <mergeCell ref="A82:AS82"/>
    <mergeCell ref="A83:AS83"/>
    <mergeCell ref="A84:AS84"/>
    <mergeCell ref="A91:AS91"/>
    <mergeCell ref="A85:AS85"/>
    <mergeCell ref="A89:AS89"/>
    <mergeCell ref="A88:AS88"/>
    <mergeCell ref="A86:AS86"/>
    <mergeCell ref="A87:AS87"/>
    <mergeCell ref="A67:AS67"/>
    <mergeCell ref="A68:AS68"/>
    <mergeCell ref="A69:AS69"/>
    <mergeCell ref="A70:AS70"/>
    <mergeCell ref="A71:AS71"/>
    <mergeCell ref="A72:AS72"/>
    <mergeCell ref="A73:AS73"/>
    <mergeCell ref="A74:AS74"/>
    <mergeCell ref="A75:AS75"/>
    <mergeCell ref="A58:AS58"/>
    <mergeCell ref="A59:AS59"/>
    <mergeCell ref="A61:AS61"/>
    <mergeCell ref="A57:AS57"/>
    <mergeCell ref="A62:AS62"/>
    <mergeCell ref="A63:AS63"/>
    <mergeCell ref="A64:AS64"/>
    <mergeCell ref="A65:AS65"/>
    <mergeCell ref="A66:AS66"/>
    <mergeCell ref="A31:AS31"/>
    <mergeCell ref="A32:AS32"/>
    <mergeCell ref="A33:AS33"/>
    <mergeCell ref="A35:AS35"/>
    <mergeCell ref="A37:AS37"/>
    <mergeCell ref="AK5:AT5"/>
    <mergeCell ref="A14:AS16"/>
    <mergeCell ref="A18:AS18"/>
    <mergeCell ref="A21:AS21"/>
    <mergeCell ref="A22:AS22"/>
    <mergeCell ref="A23:AS23"/>
    <mergeCell ref="A24:AS24"/>
    <mergeCell ref="A25:AS25"/>
    <mergeCell ref="A26:AS26"/>
    <mergeCell ref="A17:AS17"/>
    <mergeCell ref="A20:AS20"/>
    <mergeCell ref="A214:AS214"/>
    <mergeCell ref="BK2:BL2"/>
    <mergeCell ref="A3:AS3"/>
    <mergeCell ref="A7:AS11"/>
    <mergeCell ref="A13:AS13"/>
    <mergeCell ref="A42:AS42"/>
    <mergeCell ref="A54:AS54"/>
    <mergeCell ref="A79:AS79"/>
    <mergeCell ref="A124:AS124"/>
    <mergeCell ref="A127:AS127"/>
    <mergeCell ref="A132:AT132"/>
    <mergeCell ref="A134:D134"/>
    <mergeCell ref="E134:X134"/>
    <mergeCell ref="Y134:AE134"/>
    <mergeCell ref="AF134:AL134"/>
    <mergeCell ref="AM134:AS134"/>
    <mergeCell ref="A135:D135"/>
    <mergeCell ref="E135:X135"/>
    <mergeCell ref="E179:X179"/>
    <mergeCell ref="Y179:AE179"/>
    <mergeCell ref="A27:AS27"/>
    <mergeCell ref="A28:AS28"/>
    <mergeCell ref="A29:AS29"/>
    <mergeCell ref="A30:AS30"/>
    <mergeCell ref="A179:D179"/>
    <mergeCell ref="Y178:AE178"/>
    <mergeCell ref="AF178:AL178"/>
    <mergeCell ref="AM178:AS178"/>
    <mergeCell ref="E178:X178"/>
    <mergeCell ref="A38:AS38"/>
    <mergeCell ref="A40:AS40"/>
    <mergeCell ref="A156:AS156"/>
    <mergeCell ref="A150:AS150"/>
    <mergeCell ref="A41:AS41"/>
    <mergeCell ref="A43:AS43"/>
    <mergeCell ref="A44:AS44"/>
    <mergeCell ref="A45:AS45"/>
    <mergeCell ref="A46:AS46"/>
    <mergeCell ref="A39:AS39"/>
    <mergeCell ref="A47:AS47"/>
    <mergeCell ref="A48:AS48"/>
    <mergeCell ref="A49:AS49"/>
    <mergeCell ref="A50:AS50"/>
    <mergeCell ref="A51:AS51"/>
    <mergeCell ref="A52:AS52"/>
    <mergeCell ref="A53:AS53"/>
    <mergeCell ref="A55:AS55"/>
    <mergeCell ref="A56:AS56"/>
  </mergeCells>
  <conditionalFormatting sqref="A156:AS156">
    <cfRule type="expression" dxfId="8" priority="3">
      <formula>$AW$20="без НДС"</formula>
    </cfRule>
  </conditionalFormatting>
  <dataValidations count="1">
    <dataValidation type="list" allowBlank="1" showInputMessage="1" showErrorMessage="1" sqref="AW20">
      <formula1>INDIRECT("НДС")</formula1>
    </dataValidation>
  </dataValidations>
  <pageMargins left="0.70866141732283472" right="0.39370078740157483" top="0.39370078740157483" bottom="0.39370078740157483" header="0.19685039370078741" footer="0.19685039370078741"/>
  <pageSetup paperSize="9" scale="92" orientation="portrait" r:id="rId1"/>
  <rowBreaks count="7" manualBreakCount="7">
    <brk id="34" max="44" man="1"/>
    <brk id="60" max="44" man="1"/>
    <brk id="82" max="44" man="1"/>
    <brk id="123" max="44" man="1"/>
    <brk id="165" max="44" man="1"/>
    <brk id="206" max="44" man="1"/>
    <brk id="239" max="44" man="1"/>
  </rowBreaks>
</worksheet>
</file>

<file path=xl/worksheets/sheet9.xml><?xml version="1.0" encoding="utf-8"?>
<worksheet xmlns="http://schemas.openxmlformats.org/spreadsheetml/2006/main" xmlns:r="http://schemas.openxmlformats.org/officeDocument/2006/relationships">
  <dimension ref="A1:BF37"/>
  <sheetViews>
    <sheetView workbookViewId="0">
      <selection activeCell="AT17" sqref="AT17"/>
    </sheetView>
  </sheetViews>
  <sheetFormatPr defaultColWidth="2.28515625" defaultRowHeight="15"/>
  <cols>
    <col min="1" max="1" width="1.28515625" style="113" customWidth="1"/>
    <col min="2" max="4" width="2.28515625" style="113"/>
    <col min="5" max="5" width="4.7109375" style="113" customWidth="1"/>
    <col min="6" max="37" width="2.28515625" style="113"/>
    <col min="38" max="38" width="5.7109375" style="113" customWidth="1"/>
    <col min="50" max="50" width="19.7109375" customWidth="1"/>
    <col min="51" max="51" width="11.7109375" customWidth="1"/>
  </cols>
  <sheetData>
    <row r="1" spans="1:58" ht="11.25" customHeight="1">
      <c r="A1" s="112"/>
      <c r="B1" s="673" t="s">
        <v>169</v>
      </c>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row>
    <row r="2" spans="1:58" ht="11.25" customHeight="1">
      <c r="B2" s="673"/>
      <c r="C2" s="673"/>
      <c r="D2" s="673"/>
      <c r="E2" s="673"/>
      <c r="F2" s="673"/>
      <c r="G2" s="673"/>
      <c r="H2" s="673"/>
      <c r="I2" s="673"/>
      <c r="J2" s="673"/>
      <c r="K2" s="673"/>
      <c r="L2" s="673"/>
      <c r="M2" s="673"/>
      <c r="N2" s="673"/>
      <c r="O2" s="673"/>
      <c r="P2" s="673"/>
      <c r="Q2" s="673"/>
      <c r="R2" s="673"/>
      <c r="S2" s="673"/>
      <c r="T2" s="673"/>
      <c r="U2" s="673"/>
      <c r="V2" s="673"/>
      <c r="W2" s="673"/>
      <c r="X2" s="673"/>
      <c r="Y2" s="673"/>
      <c r="Z2" s="673"/>
      <c r="AA2" s="673"/>
      <c r="AB2" s="673"/>
      <c r="AC2" s="673"/>
      <c r="AD2" s="673"/>
      <c r="AE2" s="673"/>
      <c r="AF2" s="673"/>
      <c r="AG2" s="673"/>
      <c r="AH2" s="673"/>
      <c r="AI2" s="673"/>
      <c r="AJ2" s="673"/>
      <c r="AK2" s="673"/>
      <c r="AX2" t="s">
        <v>222</v>
      </c>
      <c r="AY2" s="133">
        <v>579</v>
      </c>
    </row>
    <row r="3" spans="1:58" ht="11.25" customHeight="1">
      <c r="A3" s="112">
        <f>AH26</f>
        <v>6770</v>
      </c>
      <c r="B3" s="673"/>
      <c r="C3" s="673"/>
      <c r="D3" s="673"/>
      <c r="E3" s="673"/>
      <c r="F3" s="673"/>
      <c r="G3" s="673"/>
      <c r="H3" s="673"/>
      <c r="I3" s="673"/>
      <c r="J3" s="673"/>
      <c r="K3" s="673"/>
      <c r="L3" s="673"/>
      <c r="M3" s="673"/>
      <c r="N3" s="673"/>
      <c r="O3" s="673"/>
      <c r="P3" s="673"/>
      <c r="Q3" s="673"/>
      <c r="R3" s="673"/>
      <c r="S3" s="673"/>
      <c r="T3" s="673"/>
      <c r="U3" s="673"/>
      <c r="V3" s="673"/>
      <c r="W3" s="673"/>
      <c r="X3" s="673"/>
      <c r="Y3" s="673"/>
      <c r="Z3" s="673"/>
      <c r="AA3" s="673"/>
      <c r="AB3" s="673"/>
      <c r="AC3" s="673"/>
      <c r="AD3" s="673"/>
      <c r="AE3" s="673"/>
      <c r="AF3" s="673"/>
      <c r="AG3" s="673"/>
      <c r="AH3" s="673"/>
      <c r="AI3" s="673"/>
      <c r="AJ3" s="673"/>
      <c r="AK3" s="673"/>
      <c r="AX3" t="s">
        <v>223</v>
      </c>
      <c r="AY3" s="133">
        <v>2</v>
      </c>
    </row>
    <row r="4" spans="1:58" ht="11.25" customHeight="1" thickBot="1">
      <c r="A4" s="114"/>
    </row>
    <row r="5" spans="1:58" ht="11.25" customHeight="1">
      <c r="B5" s="674" t="str">
        <f>'Договор аренды тур Юр'!BX11</f>
        <v>УРАЛЬСКИЙ БАНК ПАО СБЕРБАНК</v>
      </c>
      <c r="C5" s="675"/>
      <c r="D5" s="675"/>
      <c r="E5" s="675"/>
      <c r="F5" s="675"/>
      <c r="G5" s="675"/>
      <c r="H5" s="675"/>
      <c r="I5" s="675"/>
      <c r="J5" s="675"/>
      <c r="K5" s="675"/>
      <c r="L5" s="675"/>
      <c r="M5" s="675"/>
      <c r="N5" s="675"/>
      <c r="O5" s="675"/>
      <c r="P5" s="675"/>
      <c r="Q5" s="675"/>
      <c r="R5" s="675"/>
      <c r="S5" s="675"/>
      <c r="T5" s="678" t="s">
        <v>170</v>
      </c>
      <c r="U5" s="678"/>
      <c r="V5" s="678"/>
      <c r="W5" s="678"/>
      <c r="X5" s="679" t="str">
        <f>'Договор аренды тур Юр'!BX13</f>
        <v>046577674</v>
      </c>
      <c r="Y5" s="679"/>
      <c r="Z5" s="679"/>
      <c r="AA5" s="679"/>
      <c r="AB5" s="679"/>
      <c r="AC5" s="679"/>
      <c r="AD5" s="679"/>
      <c r="AE5" s="679"/>
      <c r="AF5" s="679"/>
      <c r="AG5" s="679"/>
      <c r="AH5" s="679"/>
      <c r="AI5" s="679"/>
      <c r="AJ5" s="679"/>
      <c r="AK5" s="680"/>
      <c r="AL5" s="12"/>
      <c r="AX5" s="2" t="s">
        <v>318</v>
      </c>
      <c r="AY5">
        <f ca="1">DAY(TODAY())</f>
        <v>30</v>
      </c>
    </row>
    <row r="6" spans="1:58" ht="11.25" customHeight="1">
      <c r="B6" s="676"/>
      <c r="C6" s="677"/>
      <c r="D6" s="677"/>
      <c r="E6" s="677"/>
      <c r="F6" s="677"/>
      <c r="G6" s="677"/>
      <c r="H6" s="677"/>
      <c r="I6" s="677"/>
      <c r="J6" s="677"/>
      <c r="K6" s="677"/>
      <c r="L6" s="677"/>
      <c r="M6" s="677"/>
      <c r="N6" s="677"/>
      <c r="O6" s="677"/>
      <c r="P6" s="677"/>
      <c r="Q6" s="677"/>
      <c r="R6" s="677"/>
      <c r="S6" s="677"/>
      <c r="T6" s="681" t="s">
        <v>171</v>
      </c>
      <c r="U6" s="681"/>
      <c r="V6" s="681"/>
      <c r="W6" s="681"/>
      <c r="X6" s="682" t="str">
        <f>'Договор аренды тур Юр'!BX12</f>
        <v>30101810500000000674</v>
      </c>
      <c r="Y6" s="682"/>
      <c r="Z6" s="682"/>
      <c r="AA6" s="682"/>
      <c r="AB6" s="682"/>
      <c r="AC6" s="682"/>
      <c r="AD6" s="682"/>
      <c r="AE6" s="682"/>
      <c r="AF6" s="682"/>
      <c r="AG6" s="682"/>
      <c r="AH6" s="682"/>
      <c r="AI6" s="682"/>
      <c r="AJ6" s="682"/>
      <c r="AK6" s="683"/>
      <c r="AL6" s="115"/>
      <c r="AX6" s="2" t="s">
        <v>319</v>
      </c>
      <c r="AY6" s="2" t="str">
        <f ca="1">IF(BF10=1,"января",IF(BF10=2,"февраля",IF(BF10=3,"марта",IF(BF10=4,"апреля",IF(BF10=5,"мая",IF(BF10=6,"июня",IF(BF10=7,"июля",IF(BF10=8,"августа",IF(BF10=9,"сентября",IF(BF10=10,"октября",IF(BF10=11,"ноября",IF(BF10=12,"декабря"))))))))))))</f>
        <v>марта</v>
      </c>
    </row>
    <row r="7" spans="1:58" ht="11.25" customHeight="1">
      <c r="B7" s="684" t="s">
        <v>172</v>
      </c>
      <c r="C7" s="685"/>
      <c r="D7" s="685"/>
      <c r="E7" s="685"/>
      <c r="F7" s="685"/>
      <c r="G7" s="685"/>
      <c r="H7" s="685"/>
      <c r="I7" s="685"/>
      <c r="J7" s="685"/>
      <c r="K7" s="685"/>
      <c r="L7" s="685"/>
      <c r="M7" s="685"/>
      <c r="N7" s="685"/>
      <c r="O7" s="685"/>
      <c r="P7" s="685"/>
      <c r="Q7" s="685"/>
      <c r="R7" s="685"/>
      <c r="S7" s="685"/>
      <c r="T7" s="681"/>
      <c r="U7" s="681"/>
      <c r="V7" s="681"/>
      <c r="W7" s="681"/>
      <c r="X7" s="682"/>
      <c r="Y7" s="682"/>
      <c r="Z7" s="682"/>
      <c r="AA7" s="682"/>
      <c r="AB7" s="682"/>
      <c r="AC7" s="682"/>
      <c r="AD7" s="682"/>
      <c r="AE7" s="682"/>
      <c r="AF7" s="682"/>
      <c r="AG7" s="682"/>
      <c r="AH7" s="682"/>
      <c r="AI7" s="682"/>
      <c r="AJ7" s="682"/>
      <c r="AK7" s="683"/>
      <c r="AL7" s="116"/>
      <c r="AX7" s="2" t="s">
        <v>342</v>
      </c>
      <c r="AY7">
        <f ca="1">YEAR(TODAY())</f>
        <v>2023</v>
      </c>
    </row>
    <row r="8" spans="1:58" ht="11.25" customHeight="1">
      <c r="B8" s="686" t="s">
        <v>173</v>
      </c>
      <c r="C8" s="687"/>
      <c r="D8" s="688" t="str">
        <f>'Договор аренды тур Юр'!BX5</f>
        <v>6670463929</v>
      </c>
      <c r="E8" s="688"/>
      <c r="F8" s="688"/>
      <c r="G8" s="688"/>
      <c r="H8" s="688"/>
      <c r="I8" s="688"/>
      <c r="J8" s="688"/>
      <c r="K8" s="687" t="s">
        <v>174</v>
      </c>
      <c r="L8" s="687"/>
      <c r="M8" s="688" t="str">
        <f>'Договор аренды тур Юр'!BX6</f>
        <v>667001001</v>
      </c>
      <c r="N8" s="688"/>
      <c r="O8" s="688"/>
      <c r="P8" s="688"/>
      <c r="Q8" s="688"/>
      <c r="R8" s="688"/>
      <c r="S8" s="688"/>
      <c r="T8" s="681" t="s">
        <v>171</v>
      </c>
      <c r="U8" s="681"/>
      <c r="V8" s="681"/>
      <c r="W8" s="681"/>
      <c r="X8" s="664" t="str">
        <f>'Договор аренды тур Юр'!BX10</f>
        <v>40702810816540041503</v>
      </c>
      <c r="Y8" s="665"/>
      <c r="Z8" s="665"/>
      <c r="AA8" s="665"/>
      <c r="AB8" s="665"/>
      <c r="AC8" s="665"/>
      <c r="AD8" s="665"/>
      <c r="AE8" s="665"/>
      <c r="AF8" s="665"/>
      <c r="AG8" s="665"/>
      <c r="AH8" s="665"/>
      <c r="AI8" s="665"/>
      <c r="AJ8" s="665"/>
      <c r="AK8" s="665"/>
      <c r="AL8" s="117"/>
    </row>
    <row r="9" spans="1:58" ht="11.25" customHeight="1">
      <c r="B9" s="670" t="s">
        <v>175</v>
      </c>
      <c r="C9" s="664"/>
      <c r="D9" s="664"/>
      <c r="E9" s="664"/>
      <c r="F9" s="664"/>
      <c r="G9" s="664"/>
      <c r="H9" s="664"/>
      <c r="I9" s="664"/>
      <c r="J9" s="664"/>
      <c r="K9" s="664"/>
      <c r="L9" s="664"/>
      <c r="M9" s="664"/>
      <c r="N9" s="664"/>
      <c r="O9" s="664"/>
      <c r="P9" s="664"/>
      <c r="Q9" s="664"/>
      <c r="R9" s="664"/>
      <c r="S9" s="664"/>
      <c r="T9" s="681"/>
      <c r="U9" s="681"/>
      <c r="V9" s="681"/>
      <c r="W9" s="681"/>
      <c r="X9" s="666"/>
      <c r="Y9" s="667"/>
      <c r="Z9" s="667"/>
      <c r="AA9" s="667"/>
      <c r="AB9" s="667"/>
      <c r="AC9" s="667"/>
      <c r="AD9" s="667"/>
      <c r="AE9" s="667"/>
      <c r="AF9" s="667"/>
      <c r="AG9" s="667"/>
      <c r="AH9" s="667"/>
      <c r="AI9" s="667"/>
      <c r="AJ9" s="667"/>
      <c r="AK9" s="667"/>
      <c r="AL9" s="115"/>
    </row>
    <row r="10" spans="1:58" ht="11.25" customHeight="1">
      <c r="B10" s="670"/>
      <c r="C10" s="664"/>
      <c r="D10" s="664"/>
      <c r="E10" s="664"/>
      <c r="F10" s="664"/>
      <c r="G10" s="664"/>
      <c r="H10" s="664"/>
      <c r="I10" s="664"/>
      <c r="J10" s="664"/>
      <c r="K10" s="664"/>
      <c r="L10" s="664"/>
      <c r="M10" s="664"/>
      <c r="N10" s="664"/>
      <c r="O10" s="664"/>
      <c r="P10" s="664"/>
      <c r="Q10" s="664"/>
      <c r="R10" s="664"/>
      <c r="S10" s="664"/>
      <c r="T10" s="681"/>
      <c r="U10" s="681"/>
      <c r="V10" s="681"/>
      <c r="W10" s="681"/>
      <c r="X10" s="666"/>
      <c r="Y10" s="667"/>
      <c r="Z10" s="667"/>
      <c r="AA10" s="667"/>
      <c r="AB10" s="667"/>
      <c r="AC10" s="667"/>
      <c r="AD10" s="667"/>
      <c r="AE10" s="667"/>
      <c r="AF10" s="667"/>
      <c r="AG10" s="667"/>
      <c r="AH10" s="667"/>
      <c r="AI10" s="667"/>
      <c r="AJ10" s="667"/>
      <c r="AK10" s="667"/>
      <c r="AL10" s="115"/>
      <c r="BF10">
        <f ca="1">MONTH(TODAY())</f>
        <v>3</v>
      </c>
    </row>
    <row r="11" spans="1:58" ht="11.25" customHeight="1" thickBot="1">
      <c r="B11" s="671" t="s">
        <v>176</v>
      </c>
      <c r="C11" s="672"/>
      <c r="D11" s="672"/>
      <c r="E11" s="672"/>
      <c r="F11" s="672"/>
      <c r="G11" s="672"/>
      <c r="H11" s="672"/>
      <c r="I11" s="672"/>
      <c r="J11" s="672"/>
      <c r="K11" s="672"/>
      <c r="L11" s="672"/>
      <c r="M11" s="672"/>
      <c r="N11" s="672"/>
      <c r="O11" s="672"/>
      <c r="P11" s="672"/>
      <c r="Q11" s="672"/>
      <c r="R11" s="672"/>
      <c r="S11" s="672"/>
      <c r="T11" s="689"/>
      <c r="U11" s="689"/>
      <c r="V11" s="689"/>
      <c r="W11" s="689"/>
      <c r="X11" s="668"/>
      <c r="Y11" s="669"/>
      <c r="Z11" s="669"/>
      <c r="AA11" s="669"/>
      <c r="AB11" s="669"/>
      <c r="AC11" s="669"/>
      <c r="AD11" s="669"/>
      <c r="AE11" s="669"/>
      <c r="AF11" s="669"/>
      <c r="AG11" s="669"/>
      <c r="AH11" s="669"/>
      <c r="AI11" s="669"/>
      <c r="AJ11" s="669"/>
      <c r="AK11" s="669"/>
      <c r="AL11" s="118"/>
    </row>
    <row r="12" spans="1:58" ht="11.25" customHeight="1"/>
    <row r="13" spans="1:58" ht="11.25" customHeight="1">
      <c r="B13" s="656" t="str">
        <f ca="1">CONCATENATE("Счет на оплату № ",AY2," от ",AY5," ",AY6," ",AY7,"г.")</f>
        <v>Счет на оплату № 579 от 30 марта 2023г.</v>
      </c>
      <c r="C13" s="656"/>
      <c r="D13" s="656"/>
      <c r="E13" s="656"/>
      <c r="F13" s="656"/>
      <c r="G13" s="656"/>
      <c r="H13" s="656"/>
      <c r="I13" s="656"/>
      <c r="J13" s="656"/>
      <c r="K13" s="656"/>
      <c r="L13" s="656"/>
      <c r="M13" s="656"/>
      <c r="N13" s="656"/>
      <c r="O13" s="656"/>
      <c r="P13" s="656"/>
      <c r="Q13" s="656"/>
      <c r="R13" s="656"/>
      <c r="S13" s="656"/>
      <c r="T13" s="656"/>
      <c r="U13" s="656"/>
      <c r="V13" s="656"/>
      <c r="W13" s="656"/>
      <c r="X13" s="656"/>
      <c r="Y13" s="656"/>
      <c r="Z13" s="656"/>
      <c r="AA13" s="656"/>
      <c r="AB13" s="656"/>
      <c r="AC13" s="656"/>
      <c r="AD13" s="656"/>
      <c r="AE13" s="656"/>
      <c r="AF13" s="656"/>
      <c r="AG13" s="656"/>
      <c r="AH13" s="656"/>
      <c r="AI13" s="656"/>
      <c r="AJ13" s="656"/>
      <c r="AK13" s="656"/>
    </row>
    <row r="14" spans="1:58" ht="12" customHeight="1">
      <c r="B14" s="656"/>
      <c r="C14" s="656"/>
      <c r="D14" s="656"/>
      <c r="E14" s="656"/>
      <c r="F14" s="656"/>
      <c r="G14" s="656"/>
      <c r="H14" s="656"/>
      <c r="I14" s="656"/>
      <c r="J14" s="656"/>
      <c r="K14" s="656"/>
      <c r="L14" s="656"/>
      <c r="M14" s="656"/>
      <c r="N14" s="656"/>
      <c r="O14" s="656"/>
      <c r="P14" s="656"/>
      <c r="Q14" s="656"/>
      <c r="R14" s="656"/>
      <c r="S14" s="656"/>
      <c r="T14" s="656"/>
      <c r="U14" s="656"/>
      <c r="V14" s="656"/>
      <c r="W14" s="656"/>
      <c r="X14" s="656"/>
      <c r="Y14" s="656"/>
      <c r="Z14" s="656"/>
      <c r="AA14" s="656"/>
      <c r="AB14" s="656"/>
      <c r="AC14" s="656"/>
      <c r="AD14" s="656"/>
      <c r="AE14" s="656"/>
      <c r="AF14" s="656"/>
      <c r="AG14" s="656"/>
      <c r="AH14" s="656"/>
      <c r="AI14" s="656"/>
      <c r="AJ14" s="656"/>
      <c r="AK14" s="656"/>
    </row>
    <row r="15" spans="1:58" ht="2.25" customHeight="1" thickBot="1">
      <c r="B15" s="657"/>
      <c r="C15" s="657"/>
      <c r="D15" s="657"/>
      <c r="E15" s="657"/>
      <c r="F15" s="657"/>
      <c r="G15" s="657"/>
      <c r="H15" s="657"/>
      <c r="I15" s="657"/>
      <c r="J15" s="657"/>
      <c r="K15" s="657"/>
      <c r="L15" s="657"/>
      <c r="M15" s="657"/>
      <c r="N15" s="657"/>
      <c r="O15" s="657"/>
      <c r="P15" s="657"/>
      <c r="Q15" s="657"/>
      <c r="R15" s="657"/>
      <c r="S15" s="657"/>
      <c r="T15" s="657"/>
      <c r="U15" s="657"/>
      <c r="V15" s="657"/>
      <c r="W15" s="657"/>
      <c r="X15" s="657"/>
      <c r="Y15" s="657"/>
      <c r="Z15" s="657"/>
      <c r="AA15" s="657"/>
      <c r="AB15" s="657"/>
      <c r="AC15" s="657"/>
      <c r="AD15" s="657"/>
      <c r="AE15" s="657"/>
      <c r="AF15" s="657"/>
      <c r="AG15" s="657"/>
      <c r="AH15" s="657"/>
      <c r="AI15" s="657"/>
      <c r="AJ15" s="657"/>
      <c r="AK15" s="657"/>
    </row>
    <row r="16" spans="1:58" ht="6" customHeight="1"/>
    <row r="17" spans="1:50" ht="28.5" customHeight="1">
      <c r="A17"/>
      <c r="B17" s="658" t="s">
        <v>177</v>
      </c>
      <c r="C17" s="658"/>
      <c r="D17" s="658"/>
      <c r="E17" s="658"/>
      <c r="F17" s="659" t="str">
        <f>CONCATENATE("ООО «УПСК», ИНН ",D8,", КПП ",M8,", ",реквизиты!G9," тел.8(343)2068882")</f>
        <v>ООО «УПСК», ИНН 6670463929, КПП 667001001, 620066, Свердловская область, г. Екатеринбург, ул. Вилонова, стр. 45Л, офис 506, тел.8(343)2068882</v>
      </c>
      <c r="G17" s="659"/>
      <c r="H17" s="659"/>
      <c r="I17" s="659"/>
      <c r="J17" s="659"/>
      <c r="K17" s="659"/>
      <c r="L17" s="659"/>
      <c r="M17" s="659"/>
      <c r="N17" s="659"/>
      <c r="O17" s="659"/>
      <c r="P17" s="659"/>
      <c r="Q17" s="659"/>
      <c r="R17" s="659"/>
      <c r="S17" s="659"/>
      <c r="T17" s="659"/>
      <c r="U17" s="659"/>
      <c r="V17" s="659"/>
      <c r="W17" s="659"/>
      <c r="X17" s="659"/>
      <c r="Y17" s="659"/>
      <c r="Z17" s="659"/>
      <c r="AA17" s="659"/>
      <c r="AB17" s="659"/>
      <c r="AC17" s="659"/>
      <c r="AD17" s="659"/>
      <c r="AE17" s="659"/>
      <c r="AF17" s="659"/>
      <c r="AG17" s="659"/>
      <c r="AH17" s="659"/>
      <c r="AI17" s="659"/>
      <c r="AJ17" s="659"/>
      <c r="AK17" s="659"/>
      <c r="AL17" s="119"/>
    </row>
    <row r="18" spans="1:50" s="113" customFormat="1" ht="3.75" customHeight="1">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row>
    <row r="19" spans="1:50" ht="30" customHeight="1">
      <c r="A19"/>
      <c r="B19" s="658" t="s">
        <v>178</v>
      </c>
      <c r="C19" s="658"/>
      <c r="D19" s="658"/>
      <c r="E19" s="658"/>
      <c r="F19" s="659" t="str">
        <f>CONCATENATE(ДляДоговора!B4,", ИНН ",ДляДоговора!B10,", КПП ",ДляДоговора!B11,", Адрес: ",ДляДоговора!B9)</f>
        <v>ООО "Эдвако-Инжиниринг", ИНН 6658401387, КПП 665801001, Адрес: 620014, РФ, г. Екатеринбург, ул. Московская, д.11 офис 903</v>
      </c>
      <c r="G19" s="659"/>
      <c r="H19" s="659"/>
      <c r="I19" s="659"/>
      <c r="J19" s="659"/>
      <c r="K19" s="659"/>
      <c r="L19" s="659"/>
      <c r="M19" s="659"/>
      <c r="N19" s="659"/>
      <c r="O19" s="659"/>
      <c r="P19" s="659"/>
      <c r="Q19" s="659"/>
      <c r="R19" s="659"/>
      <c r="S19" s="659"/>
      <c r="T19" s="659"/>
      <c r="U19" s="659"/>
      <c r="V19" s="659"/>
      <c r="W19" s="659"/>
      <c r="X19" s="659"/>
      <c r="Y19" s="659"/>
      <c r="Z19" s="659"/>
      <c r="AA19" s="659"/>
      <c r="AB19" s="659"/>
      <c r="AC19" s="659"/>
      <c r="AD19" s="659"/>
      <c r="AE19" s="659"/>
      <c r="AF19" s="659"/>
      <c r="AG19" s="659"/>
      <c r="AH19" s="659"/>
      <c r="AI19" s="659"/>
      <c r="AJ19" s="659"/>
      <c r="AK19" s="659"/>
      <c r="AL19" s="119"/>
    </row>
    <row r="20" spans="1:50" s="113" customFormat="1" ht="15.75" thickBot="1">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row>
    <row r="21" spans="1:50" ht="12" customHeight="1" thickBot="1">
      <c r="B21" s="660" t="s">
        <v>179</v>
      </c>
      <c r="C21" s="661"/>
      <c r="D21" s="662" t="s">
        <v>180</v>
      </c>
      <c r="E21" s="663"/>
      <c r="F21" s="663"/>
      <c r="G21" s="663"/>
      <c r="H21" s="663"/>
      <c r="I21" s="663"/>
      <c r="J21" s="663"/>
      <c r="K21" s="663"/>
      <c r="L21" s="663"/>
      <c r="M21" s="663"/>
      <c r="N21" s="663"/>
      <c r="O21" s="663"/>
      <c r="P21" s="663"/>
      <c r="Q21" s="663"/>
      <c r="R21" s="663"/>
      <c r="S21" s="663"/>
      <c r="T21" s="663"/>
      <c r="U21" s="660" t="s">
        <v>181</v>
      </c>
      <c r="V21" s="663"/>
      <c r="W21" s="663"/>
      <c r="X21" s="655"/>
      <c r="Y21" s="662" t="s">
        <v>182</v>
      </c>
      <c r="Z21" s="663"/>
      <c r="AA21" s="663"/>
      <c r="AB21" s="660" t="s">
        <v>183</v>
      </c>
      <c r="AC21" s="663"/>
      <c r="AD21" s="663"/>
      <c r="AE21" s="663"/>
      <c r="AF21" s="663"/>
      <c r="AG21" s="655"/>
      <c r="AH21" s="654" t="s">
        <v>184</v>
      </c>
      <c r="AI21" s="655"/>
      <c r="AJ21" s="655"/>
      <c r="AK21" s="655"/>
      <c r="AL21" s="655"/>
    </row>
    <row r="22" spans="1:50" ht="12.75" customHeight="1">
      <c r="A22"/>
      <c r="B22" s="626">
        <v>1</v>
      </c>
      <c r="C22" s="627"/>
      <c r="D22" s="628" t="str">
        <f ca="1">CONCATENATE("Оплата по договору № ",ДляДоговора!B2," от ",ДляДоговора!B3)</f>
        <v>Оплата по договору № 30/03-А(23) от 30 марта 2023г.</v>
      </c>
      <c r="E22" s="629"/>
      <c r="F22" s="629"/>
      <c r="G22" s="629"/>
      <c r="H22" s="629"/>
      <c r="I22" s="629"/>
      <c r="J22" s="629"/>
      <c r="K22" s="629"/>
      <c r="L22" s="629"/>
      <c r="M22" s="629"/>
      <c r="N22" s="629"/>
      <c r="O22" s="629"/>
      <c r="P22" s="629"/>
      <c r="Q22" s="629"/>
      <c r="R22" s="629"/>
      <c r="S22" s="629"/>
      <c r="T22" s="630"/>
      <c r="U22" s="631">
        <f>'Вышки туры'!G2</f>
        <v>30</v>
      </c>
      <c r="V22" s="632"/>
      <c r="W22" s="632"/>
      <c r="X22" s="633"/>
      <c r="Y22" s="634" t="s">
        <v>185</v>
      </c>
      <c r="Z22" s="635"/>
      <c r="AA22" s="636"/>
      <c r="AB22" s="637">
        <f>'Вышки туры'!S16</f>
        <v>156</v>
      </c>
      <c r="AC22" s="638"/>
      <c r="AD22" s="638"/>
      <c r="AE22" s="638"/>
      <c r="AF22" s="638"/>
      <c r="AG22" s="639"/>
      <c r="AH22" s="640">
        <f>U22*AB22</f>
        <v>4680</v>
      </c>
      <c r="AI22" s="641"/>
      <c r="AJ22" s="641"/>
      <c r="AK22" s="641"/>
      <c r="AL22" s="642"/>
    </row>
    <row r="23" spans="1:50" ht="12.75" customHeight="1">
      <c r="A23"/>
      <c r="B23" s="643">
        <v>2</v>
      </c>
      <c r="C23" s="644"/>
      <c r="D23" s="645" t="s">
        <v>186</v>
      </c>
      <c r="E23" s="646"/>
      <c r="F23" s="646"/>
      <c r="G23" s="646"/>
      <c r="H23" s="646"/>
      <c r="I23" s="646"/>
      <c r="J23" s="646"/>
      <c r="K23" s="646"/>
      <c r="L23" s="646"/>
      <c r="M23" s="646"/>
      <c r="N23" s="646"/>
      <c r="O23" s="646"/>
      <c r="P23" s="646"/>
      <c r="Q23" s="646"/>
      <c r="R23" s="646"/>
      <c r="S23" s="646"/>
      <c r="T23" s="647"/>
      <c r="U23" s="614">
        <f>IF(AY3=1,0,1)</f>
        <v>1</v>
      </c>
      <c r="V23" s="615"/>
      <c r="W23" s="615"/>
      <c r="X23" s="616"/>
      <c r="Y23" s="648" t="s">
        <v>187</v>
      </c>
      <c r="Z23" s="649"/>
      <c r="AA23" s="650"/>
      <c r="AB23" s="651">
        <f>'Вышки туры'!K3</f>
        <v>2090</v>
      </c>
      <c r="AC23" s="652"/>
      <c r="AD23" s="652"/>
      <c r="AE23" s="652"/>
      <c r="AF23" s="652"/>
      <c r="AG23" s="653"/>
      <c r="AH23" s="623">
        <f>U23*AB23</f>
        <v>2090</v>
      </c>
      <c r="AI23" s="624"/>
      <c r="AJ23" s="624"/>
      <c r="AK23" s="624"/>
      <c r="AL23" s="625"/>
    </row>
    <row r="24" spans="1:50" ht="12.75" customHeight="1">
      <c r="A24"/>
      <c r="B24" s="592">
        <v>3</v>
      </c>
      <c r="C24" s="593"/>
      <c r="D24" s="594" t="s">
        <v>87</v>
      </c>
      <c r="E24" s="595"/>
      <c r="F24" s="595"/>
      <c r="G24" s="595"/>
      <c r="H24" s="595"/>
      <c r="I24" s="595"/>
      <c r="J24" s="595"/>
      <c r="K24" s="595"/>
      <c r="L24" s="595"/>
      <c r="M24" s="595"/>
      <c r="N24" s="595"/>
      <c r="O24" s="595"/>
      <c r="P24" s="595"/>
      <c r="Q24" s="595"/>
      <c r="R24" s="595"/>
      <c r="S24" s="595"/>
      <c r="T24" s="596"/>
      <c r="U24" s="597">
        <f>IF(AY3=1,0,IF(AY3=2,0,1))</f>
        <v>0</v>
      </c>
      <c r="V24" s="598"/>
      <c r="W24" s="598"/>
      <c r="X24" s="599"/>
      <c r="Y24" s="600" t="s">
        <v>187</v>
      </c>
      <c r="Z24" s="601"/>
      <c r="AA24" s="602"/>
      <c r="AB24" s="603">
        <f>'Вышки туры'!G4</f>
        <v>0</v>
      </c>
      <c r="AC24" s="604"/>
      <c r="AD24" s="604"/>
      <c r="AE24" s="604"/>
      <c r="AF24" s="604"/>
      <c r="AG24" s="605"/>
      <c r="AH24" s="606">
        <f>U24*AB24</f>
        <v>0</v>
      </c>
      <c r="AI24" s="607"/>
      <c r="AJ24" s="607"/>
      <c r="AK24" s="607"/>
      <c r="AL24" s="608"/>
    </row>
    <row r="25" spans="1:50" ht="13.5" customHeight="1" thickBot="1">
      <c r="A25"/>
      <c r="B25" s="609">
        <v>4</v>
      </c>
      <c r="C25" s="610"/>
      <c r="D25" s="611" t="s">
        <v>87</v>
      </c>
      <c r="E25" s="612"/>
      <c r="F25" s="612"/>
      <c r="G25" s="612"/>
      <c r="H25" s="612"/>
      <c r="I25" s="612"/>
      <c r="J25" s="612"/>
      <c r="K25" s="612"/>
      <c r="L25" s="612"/>
      <c r="M25" s="612"/>
      <c r="N25" s="612"/>
      <c r="O25" s="612"/>
      <c r="P25" s="612"/>
      <c r="Q25" s="612"/>
      <c r="R25" s="612"/>
      <c r="S25" s="612"/>
      <c r="T25" s="613"/>
      <c r="U25" s="614">
        <f>IF(AY3=1,0,IF(AY3=2,0,IF(AY3=3,0,1)))</f>
        <v>0</v>
      </c>
      <c r="V25" s="615"/>
      <c r="W25" s="615"/>
      <c r="X25" s="616"/>
      <c r="Y25" s="617" t="s">
        <v>187</v>
      </c>
      <c r="Z25" s="618"/>
      <c r="AA25" s="619"/>
      <c r="AB25" s="620">
        <f>'Вышки туры'!G4</f>
        <v>0</v>
      </c>
      <c r="AC25" s="621"/>
      <c r="AD25" s="621"/>
      <c r="AE25" s="621"/>
      <c r="AF25" s="621"/>
      <c r="AG25" s="622"/>
      <c r="AH25" s="589">
        <f>U25*AB25</f>
        <v>0</v>
      </c>
      <c r="AI25" s="590"/>
      <c r="AJ25" s="590"/>
      <c r="AK25" s="590"/>
      <c r="AL25" s="591"/>
    </row>
    <row r="26" spans="1:50" ht="13.5" customHeight="1">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1"/>
      <c r="AC26" s="121"/>
      <c r="AD26" s="121"/>
      <c r="AE26" s="121"/>
      <c r="AF26" s="121"/>
      <c r="AG26" s="121" t="s">
        <v>66</v>
      </c>
      <c r="AH26" s="586">
        <f>SUM(AH22:AL25)</f>
        <v>6770</v>
      </c>
      <c r="AI26" s="586"/>
      <c r="AJ26" s="586"/>
      <c r="AK26" s="586"/>
      <c r="AL26" s="586"/>
    </row>
    <row r="27" spans="1:50" ht="13.5" customHeight="1">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1"/>
      <c r="AC27" s="121"/>
      <c r="AD27" s="121"/>
      <c r="AE27" s="121"/>
      <c r="AF27" s="121"/>
      <c r="AG27" s="121" t="s">
        <v>581</v>
      </c>
      <c r="AH27" s="586">
        <f>IF(D8=6670428868,AX28,AX27)</f>
        <v>780</v>
      </c>
      <c r="AI27" s="586"/>
      <c r="AJ27" s="586"/>
      <c r="AK27" s="586"/>
      <c r="AL27" s="586"/>
      <c r="AX27" s="311">
        <f>(AH26-AH23)*20/120</f>
        <v>780</v>
      </c>
    </row>
    <row r="28" spans="1:50" ht="13.5" customHeight="1">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1"/>
      <c r="AC28" s="121"/>
      <c r="AD28" s="121"/>
      <c r="AE28" s="121"/>
      <c r="AF28" s="121"/>
      <c r="AG28" s="121" t="s">
        <v>188</v>
      </c>
      <c r="AH28" s="586">
        <f>AH26</f>
        <v>6770</v>
      </c>
      <c r="AI28" s="586"/>
      <c r="AJ28" s="586"/>
      <c r="AK28" s="586"/>
      <c r="AL28" s="586"/>
      <c r="AX28" s="2" t="s">
        <v>526</v>
      </c>
    </row>
    <row r="29" spans="1:50">
      <c r="B29" s="587" t="str">
        <f>CONCATENATE("Всего наименований ",AY3," на сумму ",AH28,",00 руб.")</f>
        <v>Всего наименований 2 на сумму 6770,00 руб.</v>
      </c>
      <c r="C29" s="587"/>
      <c r="D29" s="587"/>
      <c r="E29" s="587"/>
      <c r="F29" s="587"/>
      <c r="G29" s="587"/>
      <c r="H29" s="587"/>
      <c r="I29" s="587"/>
      <c r="J29" s="587"/>
      <c r="K29" s="587"/>
      <c r="L29" s="587"/>
      <c r="M29" s="587"/>
      <c r="N29" s="587"/>
      <c r="O29" s="587"/>
      <c r="P29" s="587"/>
      <c r="Q29" s="587"/>
      <c r="R29" s="587"/>
      <c r="S29" s="587"/>
      <c r="T29" s="587"/>
      <c r="U29" s="587"/>
      <c r="V29" s="587"/>
      <c r="W29" s="587"/>
      <c r="X29" s="587"/>
      <c r="Y29" s="587"/>
      <c r="Z29" s="587"/>
      <c r="AA29" s="587"/>
      <c r="AB29" s="587"/>
      <c r="AC29" s="587"/>
      <c r="AD29" s="587"/>
      <c r="AE29" s="587"/>
      <c r="AF29" s="587"/>
      <c r="AG29" s="587"/>
      <c r="AH29" s="587"/>
      <c r="AI29" s="587"/>
      <c r="AJ29" s="587"/>
      <c r="AK29" s="587"/>
      <c r="AL29" s="120"/>
    </row>
    <row r="30" spans="1:50">
      <c r="A30"/>
      <c r="B30" s="122" t="str">
        <f>SUBSTITUTE(PROPER(INDEX(n_4,MID(TEXT(A3,n0),1,1)+1)&amp;INDEX(n0x,MID(TEXT(A3,n0),2,1)+1,MID(TEXT(A3,n0),3,1)+1)&amp;IF(-MID(TEXT(A3,n0),1,3),"миллиард"&amp;VLOOKUP(MID(TEXT(A3,n0),3,1)*AND(MID(TEXT(A3,n0),2,1)-1),мил,2),"")&amp;INDEX(n_4,MID(TEXT(A3,n0),4,1)+1)&amp;INDEX(n0x,MID(TEXT(A3,n0),5,1)+1,MID(TEXT(A3,n0),6,1)+1)&amp;IF(-MID(TEXT(A3,n0),4,3),"миллион"&amp;VLOOKUP(MID(TEXT(A3,n0),6,1)*AND(MID(TEXT(A3,n0),5,1)-1),мил,2),"")&amp;INDEX(n_4,MID(TEXT(A3,n0),7,1)+1)&amp;INDEX(n1x,MID(TEXT(A3,n0),8,1)+1,MID(TEXT(A3,n0),9,1)+1)&amp;IF(-MID(TEXT(A3,n0),7,3),VLOOKUP(MID(TEXT(A3,n0),9,1)*AND(MID(TEXT(A3,n0),8,1)-1),тыс,2),"")&amp;INDEX(n_4,MID(TEXT(A3,n0),10,1)+1)&amp;INDEX(n0x,MID(TEXT(A3,n0),11,1)+1,MID(TEXT(A3,n0),12,1)+1)),"z"," ")&amp;IF(TRUNC(TEXT(A3,n0)),"","Ноль ")&amp;"рубл"&amp;VLOOKUP(MOD(MAX(MOD(MID(TEXT(A3,n0),11,2)-11,100),9),10),{0,"ь ";1,"я ";4,"ей "},2)&amp;RIGHT(TEXT(A3,n0),2)&amp;" копе"&amp;VLOOKUP(MOD(MAX(MOD(RIGHT(TEXT(A3,n0),2)-11,100),9),10),{0,"йка";1,"йки";4,"ек"},2)</f>
        <v>Шесть тысяч семьсот семьдесят рублей 00 копеек</v>
      </c>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19"/>
      <c r="AL30" s="119"/>
    </row>
    <row r="31" spans="1:50" s="113" customFormat="1" ht="2.25" customHeight="1" thickBot="1">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0"/>
    </row>
    <row r="32" spans="1:5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X32" s="131" t="str">
        <f>'Договор аренды тур Юр'!BX4</f>
        <v>А.П. Выборных</v>
      </c>
    </row>
    <row r="33" spans="2:38">
      <c r="B33" s="124" t="s">
        <v>189</v>
      </c>
      <c r="C33" s="120"/>
      <c r="D33" s="120"/>
      <c r="E33" s="120"/>
      <c r="F33" s="120"/>
      <c r="G33" s="125"/>
      <c r="H33" s="125"/>
      <c r="I33" s="125"/>
      <c r="J33" s="125"/>
      <c r="K33" s="588" t="str">
        <f>AX32</f>
        <v>А.П. Выборных</v>
      </c>
      <c r="L33" s="588"/>
      <c r="M33" s="588"/>
      <c r="N33" s="588"/>
      <c r="O33" s="588"/>
      <c r="P33" s="588"/>
      <c r="Q33" s="588"/>
      <c r="R33" s="588"/>
      <c r="S33" s="588"/>
      <c r="T33" s="120"/>
      <c r="U33" s="120"/>
      <c r="V33" s="124" t="s">
        <v>190</v>
      </c>
      <c r="W33" s="120"/>
      <c r="X33" s="120"/>
      <c r="Y33" s="120"/>
      <c r="Z33" s="120"/>
      <c r="AA33" s="125"/>
      <c r="AB33" s="125"/>
      <c r="AC33" s="125"/>
      <c r="AD33" s="125"/>
      <c r="AE33" s="588" t="str">
        <f>AX32</f>
        <v>А.П. Выборных</v>
      </c>
      <c r="AF33" s="588"/>
      <c r="AG33" s="588"/>
      <c r="AH33" s="588"/>
      <c r="AI33" s="588"/>
      <c r="AJ33" s="588"/>
      <c r="AK33" s="588"/>
      <c r="AL33" s="120"/>
    </row>
    <row r="34" spans="2:38">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row>
    <row r="36" spans="2:38">
      <c r="C36" s="113" t="s">
        <v>285</v>
      </c>
    </row>
    <row r="37" spans="2:38">
      <c r="C37" s="113" t="s">
        <v>286</v>
      </c>
    </row>
  </sheetData>
  <mergeCells count="57">
    <mergeCell ref="X8:AK11"/>
    <mergeCell ref="B9:S10"/>
    <mergeCell ref="B11:S11"/>
    <mergeCell ref="B1:AK3"/>
    <mergeCell ref="B5:S6"/>
    <mergeCell ref="T5:W5"/>
    <mergeCell ref="X5:AK5"/>
    <mergeCell ref="T6:W7"/>
    <mergeCell ref="X6:AK7"/>
    <mergeCell ref="B7:S7"/>
    <mergeCell ref="B8:C8"/>
    <mergeCell ref="D8:J8"/>
    <mergeCell ref="K8:L8"/>
    <mergeCell ref="M8:S8"/>
    <mergeCell ref="T8:W11"/>
    <mergeCell ref="AH21:AL21"/>
    <mergeCell ref="B13:AK14"/>
    <mergeCell ref="B15:AK15"/>
    <mergeCell ref="B17:E17"/>
    <mergeCell ref="F17:AK17"/>
    <mergeCell ref="B19:E19"/>
    <mergeCell ref="F19:AK19"/>
    <mergeCell ref="B21:C21"/>
    <mergeCell ref="D21:T21"/>
    <mergeCell ref="U21:X21"/>
    <mergeCell ref="Y21:AA21"/>
    <mergeCell ref="AB21:AG21"/>
    <mergeCell ref="AH23:AL23"/>
    <mergeCell ref="B22:C22"/>
    <mergeCell ref="D22:T22"/>
    <mergeCell ref="U22:X22"/>
    <mergeCell ref="Y22:AA22"/>
    <mergeCell ref="AB22:AG22"/>
    <mergeCell ref="AH22:AL22"/>
    <mergeCell ref="B23:C23"/>
    <mergeCell ref="D23:T23"/>
    <mergeCell ref="U23:X23"/>
    <mergeCell ref="Y23:AA23"/>
    <mergeCell ref="AB23:AG23"/>
    <mergeCell ref="AH25:AL25"/>
    <mergeCell ref="B24:C24"/>
    <mergeCell ref="D24:T24"/>
    <mergeCell ref="U24:X24"/>
    <mergeCell ref="Y24:AA24"/>
    <mergeCell ref="AB24:AG24"/>
    <mergeCell ref="AH24:AL24"/>
    <mergeCell ref="B25:C25"/>
    <mergeCell ref="D25:T25"/>
    <mergeCell ref="U25:X25"/>
    <mergeCell ref="Y25:AA25"/>
    <mergeCell ref="AB25:AG25"/>
    <mergeCell ref="AH26:AL26"/>
    <mergeCell ref="AH27:AL27"/>
    <mergeCell ref="AH28:AL28"/>
    <mergeCell ref="B29:AK29"/>
    <mergeCell ref="K33:S33"/>
    <mergeCell ref="AE33:AK33"/>
  </mergeCells>
  <conditionalFormatting sqref="B23:AL25">
    <cfRule type="expression" dxfId="7" priority="6">
      <formula>$AY$3=1</formula>
    </cfRule>
  </conditionalFormatting>
  <conditionalFormatting sqref="B24:AL25">
    <cfRule type="expression" dxfId="6" priority="5">
      <formula>$AY$3=2</formula>
    </cfRule>
  </conditionalFormatting>
  <conditionalFormatting sqref="U23:X25">
    <cfRule type="expression" dxfId="5" priority="4">
      <formula>$AY$3=1</formula>
    </cfRule>
  </conditionalFormatting>
  <conditionalFormatting sqref="U24:X25">
    <cfRule type="expression" dxfId="4" priority="2">
      <formula>$AY$3=2</formula>
    </cfRule>
  </conditionalFormatting>
  <conditionalFormatting sqref="B25:AL25">
    <cfRule type="expression" dxfId="3" priority="1">
      <formula>$AY$3=3</formula>
    </cfRule>
  </conditionalFormatting>
  <pageMargins left="0.7" right="0.7" top="0.75" bottom="0.75" header="0.3" footer="0.3"/>
  <pageSetup paperSize="9" scale="95" orientation="portrait" horizontalDpi="180" verticalDpi="180" r:id="rId1"/>
</worksheet>
</file>

<file path=xl/worksheets/sheet10.xml><?xml version="1.0" encoding="utf-8"?>
<worksheet xmlns="http://schemas.openxmlformats.org/spreadsheetml/2006/main" xmlns:r="http://schemas.openxmlformats.org/officeDocument/2006/relationships">
  <dimension ref="A1:DL77"/>
  <sheetViews>
    <sheetView topLeftCell="A63" zoomScaleNormal="100" workbookViewId="0">
      <selection activeCell="A75" sqref="A75:AT75"/>
    </sheetView>
  </sheetViews>
  <sheetFormatPr defaultColWidth="2" defaultRowHeight="15"/>
  <cols>
    <col min="56" max="56" width="2.85546875" customWidth="1"/>
    <col min="57" max="57" width="1.85546875" customWidth="1"/>
    <col min="58" max="58" width="1.7109375" customWidth="1"/>
    <col min="66" max="66" width="14.140625" customWidth="1"/>
    <col min="67" max="67" width="10.85546875" customWidth="1"/>
    <col min="68" max="68" width="38.85546875" customWidth="1"/>
    <col min="75" max="75" width="2.85546875" customWidth="1"/>
    <col min="77" max="77" width="3.85546875" customWidth="1"/>
    <col min="79" max="79" width="3.5703125" customWidth="1"/>
    <col min="87" max="87" width="6.5703125" customWidth="1"/>
    <col min="92" max="92" width="13.7109375" bestFit="1" customWidth="1"/>
    <col min="93" max="93" width="17.5703125" bestFit="1" customWidth="1"/>
    <col min="94" max="94" width="3" bestFit="1" customWidth="1"/>
    <col min="105" max="105" width="9.5703125" bestFit="1" customWidth="1"/>
    <col min="106" max="106" width="40.140625" bestFit="1" customWidth="1"/>
    <col min="109" max="109" width="40.140625" bestFit="1" customWidth="1"/>
    <col min="110" max="110" width="9.5703125" bestFit="1" customWidth="1"/>
    <col min="112" max="113" width="7.85546875" customWidth="1"/>
  </cols>
  <sheetData>
    <row r="1" spans="1:116">
      <c r="N1" s="385" t="s">
        <v>621</v>
      </c>
    </row>
    <row r="2" spans="1:116" ht="18.75">
      <c r="N2" s="386" t="s">
        <v>525</v>
      </c>
      <c r="BV2" s="80"/>
      <c r="BW2" s="80"/>
      <c r="BX2" s="80"/>
      <c r="BY2" s="80"/>
      <c r="BZ2" s="80"/>
      <c r="CA2" s="80"/>
      <c r="CB2" s="80"/>
      <c r="CC2" s="80"/>
      <c r="CD2" s="80"/>
    </row>
    <row r="3" spans="1:116" ht="15.75">
      <c r="N3" s="109" t="s">
        <v>622</v>
      </c>
      <c r="BN3" t="s">
        <v>607</v>
      </c>
      <c r="BO3" t="str">
        <f>ДляДоговора!B5</f>
        <v>генерального директора</v>
      </c>
      <c r="BP3" t="str">
        <f>IF(BO3="директора","Директору",IF(BO3="генерального директора","Генеральному директору",IF(BO3="исполнительного директора","Исполнительному директору",IF(BO3="индивидуального предпринимателя","Индивидуальному предпринимателю",IF(BO3="управляющего","Управляющему",IF(BO3="управляющего индивидуального предпринимателя","Управляющему индивидуальному предпринимателю",0))))))</f>
        <v>Генеральному директору</v>
      </c>
      <c r="BV3" s="80"/>
      <c r="BW3" s="80"/>
      <c r="BX3" s="80"/>
      <c r="BY3" s="127"/>
      <c r="BZ3" s="80"/>
      <c r="CA3" s="80"/>
      <c r="CB3" s="80"/>
      <c r="CC3" s="80"/>
      <c r="CD3" s="80"/>
      <c r="CI3" s="93"/>
      <c r="CJ3" s="93"/>
      <c r="CK3" s="93"/>
      <c r="CL3" s="93"/>
      <c r="CM3" s="127"/>
      <c r="CN3" s="797"/>
      <c r="CO3" s="797"/>
      <c r="CP3" s="127"/>
      <c r="CQ3" s="80"/>
      <c r="DA3" s="387"/>
      <c r="DB3" s="387"/>
      <c r="DC3" s="387"/>
      <c r="DD3" s="387"/>
      <c r="DE3" s="387"/>
      <c r="DF3" s="387"/>
      <c r="DG3" s="387"/>
      <c r="DH3" s="387"/>
      <c r="DI3" s="387"/>
      <c r="DJ3" s="25"/>
      <c r="DK3" s="25"/>
    </row>
    <row r="4" spans="1:116" ht="15.75">
      <c r="D4" s="385"/>
      <c r="E4" s="385"/>
      <c r="F4" s="385"/>
      <c r="G4" s="385"/>
      <c r="H4" s="385"/>
      <c r="I4" s="385"/>
      <c r="J4" s="385"/>
      <c r="N4" s="109" t="s">
        <v>623</v>
      </c>
      <c r="BN4" t="s">
        <v>93</v>
      </c>
      <c r="BP4" t="str">
        <f>ДляДоговора!B6</f>
        <v>Коряжбина Эдуарда Васильевича</v>
      </c>
      <c r="BV4" s="366"/>
      <c r="BW4" s="366"/>
      <c r="BX4" s="366"/>
      <c r="BY4" s="366"/>
      <c r="BZ4" s="366"/>
      <c r="CA4" s="366"/>
      <c r="CB4" s="80"/>
      <c r="CC4" s="80"/>
      <c r="CD4" s="80"/>
      <c r="CI4" s="93"/>
      <c r="CJ4" s="93"/>
      <c r="CK4" s="93"/>
      <c r="CL4" s="93"/>
      <c r="CM4" s="127"/>
      <c r="CN4" s="127"/>
      <c r="CO4" s="127"/>
      <c r="CP4" s="127"/>
      <c r="CQ4" s="80"/>
      <c r="DA4" s="387"/>
      <c r="DB4" s="387"/>
      <c r="DC4" s="387"/>
      <c r="DD4" s="387"/>
      <c r="DE4" s="387"/>
      <c r="DF4" s="387"/>
      <c r="DG4" s="387"/>
      <c r="DH4" s="387"/>
      <c r="DI4" s="387"/>
      <c r="DJ4" s="25"/>
      <c r="DK4" s="25"/>
    </row>
    <row r="5" spans="1:116" ht="18.75">
      <c r="D5" s="386"/>
      <c r="E5" s="386"/>
      <c r="N5" s="109" t="s">
        <v>624</v>
      </c>
      <c r="BN5" t="s">
        <v>608</v>
      </c>
      <c r="BP5" s="131" t="s">
        <v>609</v>
      </c>
      <c r="BV5" s="80"/>
      <c r="BW5" s="80"/>
      <c r="BX5" s="80"/>
      <c r="BY5" s="80"/>
      <c r="BZ5" s="80"/>
      <c r="CA5" s="80"/>
      <c r="CB5" s="80"/>
      <c r="CC5" s="80"/>
      <c r="CD5" s="80"/>
      <c r="CI5" s="93"/>
      <c r="CJ5" s="93"/>
      <c r="CK5" s="93"/>
      <c r="CL5" s="93"/>
      <c r="CM5" s="127"/>
      <c r="CN5" s="127"/>
      <c r="CO5" s="127"/>
      <c r="CP5" s="127"/>
      <c r="CQ5" s="80"/>
      <c r="DA5" s="388"/>
      <c r="DB5" s="389"/>
      <c r="DC5" s="387"/>
      <c r="DD5" s="387"/>
      <c r="DE5" s="389"/>
      <c r="DF5" s="390"/>
      <c r="DG5" s="387"/>
      <c r="DH5" s="387"/>
      <c r="DI5" s="387"/>
      <c r="DJ5" s="25"/>
      <c r="DK5" s="25"/>
      <c r="DL5" s="25"/>
    </row>
    <row r="6" spans="1:116" ht="15.75">
      <c r="D6" s="109"/>
      <c r="E6" s="109"/>
      <c r="N6" s="109" t="s">
        <v>625</v>
      </c>
      <c r="CI6" s="93"/>
      <c r="CJ6" s="93"/>
      <c r="CK6" s="93"/>
      <c r="CL6" s="93"/>
      <c r="CM6" s="127"/>
      <c r="CN6" s="127"/>
      <c r="CO6" s="127"/>
      <c r="CP6" s="127"/>
      <c r="CQ6" s="80"/>
      <c r="DA6" s="388"/>
      <c r="DB6" s="389"/>
      <c r="DC6" s="387"/>
      <c r="DD6" s="387"/>
      <c r="DE6" s="389"/>
      <c r="DF6" s="390"/>
      <c r="DG6" s="387"/>
      <c r="DH6" s="387"/>
      <c r="DI6" s="387"/>
      <c r="DJ6" s="25"/>
      <c r="DK6" s="25"/>
      <c r="DL6" s="25"/>
    </row>
    <row r="7" spans="1:116" ht="15.75">
      <c r="D7" s="109"/>
      <c r="E7" s="109"/>
      <c r="N7" s="109" t="s">
        <v>610</v>
      </c>
      <c r="CI7" s="93"/>
      <c r="CJ7" s="93"/>
      <c r="CK7" s="93"/>
      <c r="CL7" s="93"/>
      <c r="CM7" s="127"/>
      <c r="CN7" s="127"/>
      <c r="CO7" s="127"/>
      <c r="CP7" s="127"/>
      <c r="CQ7" s="80"/>
      <c r="DA7" s="388"/>
      <c r="DB7" s="389"/>
      <c r="DC7" s="387"/>
      <c r="DD7" s="387"/>
      <c r="DE7" s="389"/>
      <c r="DF7" s="390"/>
      <c r="DG7" s="387"/>
      <c r="DH7" s="387"/>
      <c r="DI7" s="387"/>
      <c r="DJ7" s="25"/>
      <c r="DK7" s="25"/>
      <c r="DL7" s="25"/>
    </row>
    <row r="8" spans="1:116" ht="15.75">
      <c r="D8" s="109"/>
      <c r="E8" s="109"/>
      <c r="BN8" s="798" t="s">
        <v>611</v>
      </c>
      <c r="BO8" s="798"/>
      <c r="CI8" s="93"/>
      <c r="CJ8" s="93"/>
      <c r="CK8" s="93"/>
      <c r="CL8" s="93"/>
      <c r="CM8" s="127"/>
      <c r="CN8" s="127"/>
      <c r="CO8" s="127"/>
      <c r="CP8" s="127"/>
      <c r="CQ8" s="80"/>
      <c r="DA8" s="388"/>
      <c r="DB8" s="389"/>
      <c r="DC8" s="387"/>
      <c r="DD8" s="387"/>
      <c r="DE8" s="389"/>
      <c r="DF8" s="390"/>
      <c r="DG8" s="387"/>
      <c r="DH8" s="387"/>
      <c r="DI8" s="387"/>
      <c r="DJ8" s="25"/>
      <c r="DK8" s="25"/>
      <c r="DL8" s="25"/>
    </row>
    <row r="9" spans="1:116" ht="15.75">
      <c r="B9" t="str">
        <f ca="1">CONCATENATE("Исх. от ",BO9,".",BP10,".",BO11)</f>
        <v>Исх. от 30.03.2023</v>
      </c>
      <c r="D9" s="109"/>
      <c r="E9" s="109"/>
      <c r="AC9" t="str">
        <f>BP3</f>
        <v>Генеральному директору</v>
      </c>
      <c r="BN9" t="s">
        <v>585</v>
      </c>
      <c r="BO9">
        <f ca="1">DAY(TODAY())</f>
        <v>30</v>
      </c>
      <c r="CI9" s="93"/>
      <c r="CJ9" s="93"/>
      <c r="CK9" s="93"/>
      <c r="CL9" s="93"/>
      <c r="CM9" s="127"/>
      <c r="CN9" s="127"/>
      <c r="CO9" s="277"/>
      <c r="CP9" s="127"/>
      <c r="CQ9" s="80"/>
      <c r="DA9" s="388"/>
      <c r="DB9" s="389"/>
      <c r="DC9" s="387"/>
      <c r="DD9" s="387"/>
      <c r="DE9" s="389"/>
      <c r="DF9" s="390"/>
      <c r="DG9" s="387"/>
      <c r="DH9" s="387"/>
      <c r="DI9" s="387"/>
      <c r="DJ9" s="25"/>
      <c r="DK9" s="25"/>
      <c r="DL9" s="25"/>
    </row>
    <row r="10" spans="1:116" ht="15.75">
      <c r="D10" s="109"/>
      <c r="E10" s="109"/>
      <c r="AC10" t="str">
        <f>ДляДоговора!B4</f>
        <v>ООО "Эдвако-Инжиниринг"</v>
      </c>
      <c r="BN10" t="s">
        <v>587</v>
      </c>
      <c r="BO10">
        <f ca="1">MONTH(TODAY())</f>
        <v>3</v>
      </c>
      <c r="BP10" s="383" t="str">
        <f ca="1">IF(BO10=1,"01",IF(BO10=2,"02",IF(BO10=3,"03",IF(BO10=4,"04",IF(BO10=5,"05",IF(BO10=6,"06",IF(BO10=7,"07",IF(BO10=8,"08",IF(BO10=9,"09",IF(BO10=10,"10",IF(BO10=11,"11",IF(BO10=12,"12"))))))))))))</f>
        <v>03</v>
      </c>
      <c r="CI10" s="93"/>
      <c r="CJ10" s="93"/>
      <c r="CK10" s="93"/>
      <c r="CL10" s="93"/>
      <c r="CM10" s="127"/>
      <c r="CN10" s="127"/>
      <c r="CO10" s="127"/>
      <c r="CP10" s="391"/>
      <c r="CQ10" s="80"/>
      <c r="DA10" s="388"/>
      <c r="DB10" s="389"/>
      <c r="DC10" s="387"/>
      <c r="DD10" s="387"/>
      <c r="DE10" s="389"/>
      <c r="DF10" s="390"/>
      <c r="DG10" s="387"/>
      <c r="DH10" s="387"/>
      <c r="DI10" s="387"/>
      <c r="DJ10" s="25"/>
      <c r="DK10" s="25"/>
      <c r="DL10" s="25"/>
    </row>
    <row r="11" spans="1:116" ht="15.75">
      <c r="AC11" t="str">
        <f>BP5</f>
        <v>Краснопольскому Роману Евгеньевичу</v>
      </c>
      <c r="BN11" t="s">
        <v>590</v>
      </c>
      <c r="BO11">
        <f ca="1">YEAR(TODAY())</f>
        <v>2023</v>
      </c>
      <c r="CJ11" s="93"/>
      <c r="CK11" s="93"/>
      <c r="CL11" s="93"/>
      <c r="CM11" s="127"/>
      <c r="CN11" s="127"/>
      <c r="CO11" s="127"/>
      <c r="CP11" s="127"/>
      <c r="CQ11" s="80"/>
      <c r="DA11" s="388"/>
      <c r="DB11" s="389"/>
      <c r="DC11" s="387"/>
      <c r="DD11" s="387"/>
      <c r="DE11" s="389"/>
      <c r="DF11" s="392"/>
      <c r="DG11" s="393"/>
      <c r="DH11" s="393"/>
      <c r="DI11" s="393"/>
      <c r="DJ11" s="393"/>
      <c r="DK11" s="393"/>
      <c r="DL11" s="393"/>
    </row>
    <row r="12" spans="1:116" ht="15.75">
      <c r="CI12" s="93"/>
      <c r="CJ12" s="93"/>
      <c r="CK12" s="93"/>
      <c r="CL12" s="93"/>
      <c r="CM12" s="127"/>
      <c r="CN12" s="127"/>
      <c r="CO12" s="394"/>
      <c r="CP12" s="127"/>
      <c r="CQ12" s="80"/>
      <c r="DA12" s="388"/>
      <c r="DB12" s="389"/>
      <c r="DC12" s="387"/>
      <c r="DD12" s="387"/>
      <c r="DE12" s="389"/>
      <c r="DF12" s="392"/>
      <c r="DG12" s="393"/>
      <c r="DH12" s="393"/>
      <c r="DI12" s="393"/>
      <c r="DJ12" s="393"/>
      <c r="DK12" s="393"/>
      <c r="DL12" s="393"/>
    </row>
    <row r="13" spans="1:116" ht="15.75">
      <c r="A13" s="799" t="s">
        <v>612</v>
      </c>
      <c r="B13" s="799"/>
      <c r="C13" s="799"/>
      <c r="D13" s="799"/>
      <c r="E13" s="799"/>
      <c r="F13" s="799"/>
      <c r="G13" s="799"/>
      <c r="H13" s="799"/>
      <c r="I13" s="799"/>
      <c r="J13" s="799"/>
      <c r="K13" s="799"/>
      <c r="L13" s="799"/>
      <c r="M13" s="799"/>
      <c r="N13" s="799"/>
      <c r="O13" s="799"/>
      <c r="P13" s="799"/>
      <c r="Q13" s="799"/>
      <c r="R13" s="799"/>
      <c r="S13" s="799"/>
      <c r="T13" s="799"/>
      <c r="U13" s="799"/>
      <c r="V13" s="799"/>
      <c r="W13" s="799"/>
      <c r="X13" s="799"/>
      <c r="Y13" s="799"/>
      <c r="Z13" s="799"/>
      <c r="AA13" s="799"/>
      <c r="AB13" s="799"/>
      <c r="AC13" s="799"/>
      <c r="AD13" s="799"/>
      <c r="AE13" s="799"/>
      <c r="AF13" s="799"/>
      <c r="AG13" s="799"/>
      <c r="AH13" s="799"/>
      <c r="AI13" s="799"/>
      <c r="AJ13" s="799"/>
      <c r="AK13" s="799"/>
      <c r="AL13" s="799"/>
      <c r="AM13" s="799"/>
      <c r="AN13" s="799"/>
      <c r="AO13" s="799"/>
      <c r="AP13" s="799"/>
      <c r="AQ13" s="799"/>
      <c r="AR13" s="799"/>
      <c r="AS13" s="799"/>
      <c r="AT13" s="799"/>
      <c r="AU13" s="799"/>
      <c r="CI13" s="93"/>
      <c r="CJ13" s="93"/>
      <c r="CK13" s="93"/>
      <c r="CL13" s="93"/>
      <c r="CM13" s="127"/>
      <c r="CN13" s="127"/>
      <c r="CO13" s="127"/>
      <c r="CP13" s="127"/>
      <c r="CQ13" s="80"/>
      <c r="DA13" s="395"/>
      <c r="DB13" s="389"/>
      <c r="DC13" s="387"/>
      <c r="DD13" s="387"/>
      <c r="DE13" s="389"/>
      <c r="DF13" s="392"/>
      <c r="DG13" s="393"/>
      <c r="DH13" s="393"/>
      <c r="DI13" s="393"/>
      <c r="DJ13" s="393"/>
      <c r="DK13" s="393"/>
      <c r="DL13" s="393"/>
    </row>
    <row r="14" spans="1:116" ht="8.25" customHeight="1">
      <c r="CI14" s="93"/>
      <c r="CJ14" s="93"/>
      <c r="CK14" s="93"/>
      <c r="CL14" s="93"/>
      <c r="CM14" s="127"/>
      <c r="CN14" s="127"/>
      <c r="CO14" s="272"/>
      <c r="CP14" s="127"/>
      <c r="CQ14" s="80"/>
      <c r="DA14" s="387"/>
      <c r="DB14" s="389"/>
      <c r="DC14" s="387"/>
      <c r="DD14" s="387"/>
      <c r="DE14" s="389"/>
      <c r="DF14" s="392"/>
      <c r="DG14" s="393"/>
      <c r="DH14" s="393"/>
      <c r="DI14" s="393"/>
      <c r="DJ14" s="393"/>
      <c r="DK14" s="393"/>
      <c r="DL14" s="393"/>
    </row>
    <row r="15" spans="1:116" s="291" customFormat="1" ht="32.25" customHeight="1">
      <c r="A15" s="710" t="str">
        <f ca="1">CONCATENATE("В соответсвии с пунктом 4.5 Договора аренды оборудования №",ДляДоговора!B2," от ",ДляДоговора!B3,"  направляем вам уведомление о необходимости оплаты оборудования сданного в аренду и не возвращеного обратно.")</f>
        <v>В соответсвии с пунктом 4.5 Договора аренды оборудования №30/03-А(23) от 30 марта 2023г.  направляем вам уведомление о необходимости оплаты оборудования сданного в аренду и не возвращеного обратно.</v>
      </c>
      <c r="B15" s="710"/>
      <c r="C15" s="710"/>
      <c r="D15" s="710"/>
      <c r="E15" s="710"/>
      <c r="F15" s="710"/>
      <c r="G15" s="710"/>
      <c r="H15" s="710"/>
      <c r="I15" s="710"/>
      <c r="J15" s="710"/>
      <c r="K15" s="710"/>
      <c r="L15" s="710"/>
      <c r="M15" s="710"/>
      <c r="N15" s="710"/>
      <c r="O15" s="710"/>
      <c r="P15" s="710"/>
      <c r="Q15" s="710"/>
      <c r="R15" s="710"/>
      <c r="S15" s="710"/>
      <c r="T15" s="710"/>
      <c r="U15" s="710"/>
      <c r="V15" s="710"/>
      <c r="W15" s="710"/>
      <c r="X15" s="710"/>
      <c r="Y15" s="710"/>
      <c r="Z15" s="710"/>
      <c r="AA15" s="710"/>
      <c r="AB15" s="710"/>
      <c r="AC15" s="710"/>
      <c r="AD15" s="710"/>
      <c r="AE15" s="710"/>
      <c r="AF15" s="710"/>
      <c r="AG15" s="710"/>
      <c r="AH15" s="710"/>
      <c r="AI15" s="710"/>
      <c r="AJ15" s="710"/>
      <c r="AK15" s="710"/>
      <c r="AL15" s="710"/>
      <c r="AM15" s="710"/>
      <c r="AN15" s="710"/>
      <c r="AO15" s="710"/>
      <c r="AP15" s="710"/>
      <c r="AQ15" s="710"/>
      <c r="AR15" s="710"/>
      <c r="AS15" s="710"/>
      <c r="AT15" s="710"/>
      <c r="AU15" s="710"/>
      <c r="CM15" s="396"/>
      <c r="CN15" s="396"/>
      <c r="CO15" s="396"/>
      <c r="CP15" s="396"/>
      <c r="CQ15" s="396"/>
      <c r="DA15" s="397"/>
      <c r="DB15" s="398"/>
      <c r="DC15" s="397"/>
      <c r="DD15" s="397"/>
      <c r="DE15" s="398"/>
      <c r="DF15" s="392"/>
      <c r="DG15" s="393"/>
      <c r="DH15" s="393"/>
      <c r="DI15" s="393"/>
      <c r="DJ15" s="393"/>
      <c r="DK15" s="393"/>
      <c r="DL15" s="393"/>
    </row>
    <row r="16" spans="1:116" s="291" customFormat="1">
      <c r="A16" s="800" t="s">
        <v>613</v>
      </c>
      <c r="B16" s="800"/>
      <c r="C16" s="800"/>
      <c r="D16" s="800"/>
      <c r="E16" s="800"/>
      <c r="F16" s="800"/>
      <c r="G16" s="800"/>
      <c r="H16" s="800"/>
      <c r="I16" s="800"/>
      <c r="J16" s="800"/>
      <c r="K16" s="800"/>
      <c r="L16" s="800"/>
      <c r="M16" s="800"/>
      <c r="N16" s="800"/>
      <c r="O16" s="800"/>
      <c r="P16" s="800"/>
      <c r="Q16" s="800"/>
      <c r="R16" s="800"/>
      <c r="S16" s="800"/>
      <c r="T16" s="800"/>
      <c r="U16" s="800"/>
      <c r="V16" s="800"/>
      <c r="W16" s="800"/>
      <c r="X16" s="800"/>
      <c r="Y16" s="800"/>
      <c r="Z16" s="800"/>
      <c r="AA16" s="800"/>
      <c r="AB16" s="800"/>
      <c r="AC16" s="800"/>
      <c r="AD16" s="800"/>
      <c r="AE16" s="800"/>
      <c r="AF16" s="800"/>
      <c r="AG16" s="800"/>
      <c r="AH16" s="800"/>
      <c r="AI16" s="800"/>
      <c r="AJ16" s="800"/>
      <c r="AK16" s="800"/>
      <c r="AL16" s="800"/>
      <c r="AM16" s="800"/>
      <c r="AN16" s="800"/>
      <c r="AO16" s="800"/>
      <c r="AP16" s="800"/>
      <c r="AQ16" s="800"/>
      <c r="AR16" s="800"/>
      <c r="AS16" s="800"/>
      <c r="AT16" s="800"/>
      <c r="AU16" s="800"/>
      <c r="DA16" s="397"/>
      <c r="DB16" s="398"/>
      <c r="DC16" s="397"/>
      <c r="DD16" s="397"/>
      <c r="DE16" s="398"/>
      <c r="DF16" s="392"/>
      <c r="DG16" s="393"/>
      <c r="DH16" s="393"/>
      <c r="DI16" s="393"/>
      <c r="DJ16" s="393"/>
      <c r="DK16" s="393"/>
      <c r="DL16" s="393"/>
    </row>
    <row r="17" spans="1:116">
      <c r="A17" s="801" t="s">
        <v>614</v>
      </c>
      <c r="B17" s="801"/>
      <c r="C17" s="801"/>
      <c r="D17" s="801"/>
      <c r="E17" s="801"/>
      <c r="F17" s="801"/>
      <c r="G17" s="801"/>
      <c r="H17" s="801"/>
      <c r="I17" s="801"/>
      <c r="J17" s="801"/>
      <c r="K17" s="801"/>
      <c r="L17" s="801"/>
      <c r="M17" s="801"/>
      <c r="N17" s="801"/>
      <c r="O17" s="801"/>
      <c r="P17" s="801"/>
      <c r="Q17" s="801"/>
      <c r="R17" s="801"/>
      <c r="S17" s="801"/>
      <c r="T17" s="801"/>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DA17" s="387"/>
      <c r="DB17" s="389"/>
      <c r="DC17" s="387"/>
      <c r="DD17" s="387"/>
      <c r="DE17" s="389"/>
      <c r="DF17" s="392"/>
      <c r="DG17" s="393"/>
      <c r="DH17" s="393"/>
      <c r="DI17" s="393"/>
      <c r="DJ17" s="393"/>
      <c r="DK17" s="393"/>
      <c r="DL17" s="393"/>
    </row>
    <row r="18" spans="1:116" ht="7.5" customHeight="1" thickBot="1">
      <c r="DA18" s="387"/>
      <c r="DB18" s="389"/>
      <c r="DC18" s="387"/>
      <c r="DD18" s="387"/>
      <c r="DE18" s="389"/>
      <c r="DF18" s="392"/>
      <c r="DG18" s="393"/>
      <c r="DH18" s="393"/>
      <c r="DI18" s="393"/>
      <c r="DJ18" s="393"/>
      <c r="DK18" s="393"/>
      <c r="DL18" s="393"/>
    </row>
    <row r="19" spans="1:116" s="201" customFormat="1" ht="31.5" customHeight="1" thickBot="1">
      <c r="A19" s="755" t="s">
        <v>121</v>
      </c>
      <c r="B19" s="756"/>
      <c r="C19" s="756"/>
      <c r="D19" s="757"/>
      <c r="E19" s="758" t="s">
        <v>31</v>
      </c>
      <c r="F19" s="759"/>
      <c r="G19" s="759"/>
      <c r="H19" s="759"/>
      <c r="I19" s="759"/>
      <c r="J19" s="759"/>
      <c r="K19" s="759"/>
      <c r="L19" s="759"/>
      <c r="M19" s="759"/>
      <c r="N19" s="759"/>
      <c r="O19" s="759"/>
      <c r="P19" s="759"/>
      <c r="Q19" s="759"/>
      <c r="R19" s="759"/>
      <c r="S19" s="759"/>
      <c r="T19" s="759"/>
      <c r="U19" s="759"/>
      <c r="V19" s="759"/>
      <c r="W19" s="759"/>
      <c r="X19" s="759"/>
      <c r="Y19" s="759"/>
      <c r="Z19" s="759"/>
      <c r="AA19" s="760"/>
      <c r="AB19" s="761" t="s">
        <v>471</v>
      </c>
      <c r="AC19" s="756"/>
      <c r="AD19" s="756"/>
      <c r="AE19" s="756"/>
      <c r="AF19" s="757"/>
      <c r="AG19" s="779" t="s">
        <v>122</v>
      </c>
      <c r="AH19" s="756"/>
      <c r="AI19" s="756"/>
      <c r="AJ19" s="756"/>
      <c r="AK19" s="756"/>
      <c r="AL19" s="756"/>
      <c r="AM19" s="765"/>
      <c r="AN19" s="761" t="s">
        <v>548</v>
      </c>
      <c r="AO19" s="756"/>
      <c r="AP19" s="756"/>
      <c r="AQ19" s="756"/>
      <c r="AR19" s="756"/>
      <c r="AS19" s="756"/>
      <c r="AT19" s="756"/>
      <c r="AU19" s="765"/>
      <c r="DA19" s="399"/>
      <c r="DB19" s="389"/>
      <c r="DC19" s="400"/>
      <c r="DD19" s="400"/>
      <c r="DE19" s="389"/>
      <c r="DF19" s="392"/>
      <c r="DG19" s="393"/>
      <c r="DH19" s="393"/>
      <c r="DI19" s="393"/>
      <c r="DJ19" s="393"/>
      <c r="DK19" s="393"/>
      <c r="DL19" s="393"/>
    </row>
    <row r="20" spans="1:116" ht="15.75">
      <c r="A20" s="742">
        <v>1</v>
      </c>
      <c r="B20" s="743"/>
      <c r="C20" s="743"/>
      <c r="D20" s="744"/>
      <c r="E20" s="745" t="str">
        <f>'Договор аренды лесов Юр'!C141</f>
        <v>Рама проходная ЛСПР-200</v>
      </c>
      <c r="F20" s="746"/>
      <c r="G20" s="746"/>
      <c r="H20" s="746"/>
      <c r="I20" s="746"/>
      <c r="J20" s="746"/>
      <c r="K20" s="746"/>
      <c r="L20" s="746"/>
      <c r="M20" s="746"/>
      <c r="N20" s="746"/>
      <c r="O20" s="746"/>
      <c r="P20" s="746"/>
      <c r="Q20" s="746"/>
      <c r="R20" s="746"/>
      <c r="S20" s="746"/>
      <c r="T20" s="746"/>
      <c r="U20" s="746"/>
      <c r="V20" s="746"/>
      <c r="W20" s="746"/>
      <c r="X20" s="746"/>
      <c r="Y20" s="746"/>
      <c r="Z20" s="746"/>
      <c r="AA20" s="747"/>
      <c r="AB20" s="748">
        <f>'Договор аренды лесов Юр'!T141</f>
        <v>4</v>
      </c>
      <c r="AC20" s="743"/>
      <c r="AD20" s="743"/>
      <c r="AE20" s="743"/>
      <c r="AF20" s="744"/>
      <c r="AG20" s="749">
        <f>'Договор аренды лесов Юр'!X141</f>
        <v>1400</v>
      </c>
      <c r="AH20" s="750"/>
      <c r="AI20" s="750"/>
      <c r="AJ20" s="750"/>
      <c r="AK20" s="750"/>
      <c r="AL20" s="750"/>
      <c r="AM20" s="751"/>
      <c r="AN20" s="752">
        <f>AB20*AG20</f>
        <v>5600</v>
      </c>
      <c r="AO20" s="750"/>
      <c r="AP20" s="750"/>
      <c r="AQ20" s="750"/>
      <c r="AR20" s="750"/>
      <c r="AS20" s="750"/>
      <c r="AT20" s="750"/>
      <c r="AU20" s="751"/>
      <c r="BN20" s="80"/>
      <c r="BO20" s="267"/>
      <c r="BP20" s="80"/>
      <c r="DA20" s="387"/>
      <c r="DB20" s="400"/>
      <c r="DC20" s="387"/>
      <c r="DD20" s="387"/>
      <c r="DE20" s="400"/>
      <c r="DF20" s="392"/>
      <c r="DG20" s="393"/>
      <c r="DH20" s="393"/>
      <c r="DI20" s="393"/>
      <c r="DJ20" s="393"/>
      <c r="DK20" s="393"/>
      <c r="DL20" s="393"/>
    </row>
    <row r="21" spans="1:116" ht="15.75">
      <c r="A21" s="722">
        <v>2</v>
      </c>
      <c r="B21" s="717"/>
      <c r="C21" s="717"/>
      <c r="D21" s="723"/>
      <c r="E21" s="724" t="str">
        <f>'Договор аренды лесов Юр'!C142</f>
        <v xml:space="preserve">Рама с лестницей ЛСПР-200 </v>
      </c>
      <c r="F21" s="718"/>
      <c r="G21" s="718"/>
      <c r="H21" s="718"/>
      <c r="I21" s="718"/>
      <c r="J21" s="718"/>
      <c r="K21" s="718"/>
      <c r="L21" s="718"/>
      <c r="M21" s="718"/>
      <c r="N21" s="718"/>
      <c r="O21" s="718"/>
      <c r="P21" s="718"/>
      <c r="Q21" s="718"/>
      <c r="R21" s="718"/>
      <c r="S21" s="718"/>
      <c r="T21" s="718"/>
      <c r="U21" s="718"/>
      <c r="V21" s="718"/>
      <c r="W21" s="718"/>
      <c r="X21" s="718"/>
      <c r="Y21" s="718"/>
      <c r="Z21" s="718"/>
      <c r="AA21" s="725"/>
      <c r="AB21" s="726">
        <f>'Договор аренды лесов Юр'!T142</f>
        <v>4</v>
      </c>
      <c r="AC21" s="717"/>
      <c r="AD21" s="717"/>
      <c r="AE21" s="717"/>
      <c r="AF21" s="723"/>
      <c r="AG21" s="727">
        <f>'Договор аренды лесов Юр'!X142</f>
        <v>1670</v>
      </c>
      <c r="AH21" s="721"/>
      <c r="AI21" s="721"/>
      <c r="AJ21" s="721"/>
      <c r="AK21" s="721"/>
      <c r="AL21" s="721"/>
      <c r="AM21" s="728"/>
      <c r="AN21" s="729">
        <f t="shared" ref="AN21:AN25" si="0">AB21*AG21</f>
        <v>6680</v>
      </c>
      <c r="AO21" s="721"/>
      <c r="AP21" s="721"/>
      <c r="AQ21" s="721"/>
      <c r="AR21" s="721"/>
      <c r="AS21" s="721"/>
      <c r="AT21" s="721"/>
      <c r="AU21" s="728"/>
      <c r="BN21" s="80"/>
      <c r="BO21" s="268"/>
      <c r="BP21" s="80"/>
      <c r="DA21" s="387"/>
      <c r="DB21" s="389"/>
      <c r="DC21" s="387"/>
      <c r="DD21" s="387"/>
      <c r="DE21" s="389"/>
      <c r="DF21" s="392"/>
      <c r="DG21" s="387"/>
      <c r="DH21" s="387"/>
      <c r="DI21" s="387"/>
      <c r="DJ21" s="25"/>
      <c r="DK21" s="25"/>
    </row>
    <row r="22" spans="1:116" ht="15.75">
      <c r="A22" s="722">
        <v>3</v>
      </c>
      <c r="B22" s="717"/>
      <c r="C22" s="717"/>
      <c r="D22" s="723"/>
      <c r="E22" s="724" t="str">
        <f>'Договор аренды лесов Юр'!C143</f>
        <v>Диагональная связь (3,3 м) ЛСПР-200</v>
      </c>
      <c r="F22" s="718"/>
      <c r="G22" s="718"/>
      <c r="H22" s="718"/>
      <c r="I22" s="718"/>
      <c r="J22" s="718"/>
      <c r="K22" s="718"/>
      <c r="L22" s="718"/>
      <c r="M22" s="718"/>
      <c r="N22" s="718"/>
      <c r="O22" s="718"/>
      <c r="P22" s="718"/>
      <c r="Q22" s="718"/>
      <c r="R22" s="718"/>
      <c r="S22" s="718"/>
      <c r="T22" s="718"/>
      <c r="U22" s="718"/>
      <c r="V22" s="718"/>
      <c r="W22" s="718"/>
      <c r="X22" s="718"/>
      <c r="Y22" s="718"/>
      <c r="Z22" s="718"/>
      <c r="AA22" s="725"/>
      <c r="AB22" s="726">
        <f>'Договор аренды лесов Юр'!T143</f>
        <v>4</v>
      </c>
      <c r="AC22" s="717"/>
      <c r="AD22" s="717"/>
      <c r="AE22" s="717"/>
      <c r="AF22" s="723"/>
      <c r="AG22" s="727">
        <f>'Договор аренды лесов Юр'!X143</f>
        <v>630</v>
      </c>
      <c r="AH22" s="721"/>
      <c r="AI22" s="721"/>
      <c r="AJ22" s="721"/>
      <c r="AK22" s="721"/>
      <c r="AL22" s="721"/>
      <c r="AM22" s="728"/>
      <c r="AN22" s="729">
        <f t="shared" si="0"/>
        <v>2520</v>
      </c>
      <c r="AO22" s="721"/>
      <c r="AP22" s="721"/>
      <c r="AQ22" s="721"/>
      <c r="AR22" s="721"/>
      <c r="AS22" s="721"/>
      <c r="AT22" s="721"/>
      <c r="AU22" s="728"/>
      <c r="BN22" s="80"/>
      <c r="BO22" s="267"/>
      <c r="BP22" s="80"/>
      <c r="DA22" s="387"/>
      <c r="DB22" s="389"/>
      <c r="DC22" s="387"/>
      <c r="DD22" s="387"/>
      <c r="DE22" s="389"/>
      <c r="DF22" s="387"/>
      <c r="DG22" s="387"/>
      <c r="DH22" s="387"/>
      <c r="DI22" s="387"/>
      <c r="DJ22" s="25"/>
      <c r="DK22" s="25"/>
    </row>
    <row r="23" spans="1:116">
      <c r="A23" s="722">
        <v>4</v>
      </c>
      <c r="B23" s="717"/>
      <c r="C23" s="717"/>
      <c r="D23" s="723"/>
      <c r="E23" s="724" t="str">
        <f>'Договор аренды лесов Юр'!C144</f>
        <v>Горизонтальная связь (3м) ЛСПР-200</v>
      </c>
      <c r="F23" s="718"/>
      <c r="G23" s="718"/>
      <c r="H23" s="718"/>
      <c r="I23" s="718"/>
      <c r="J23" s="718"/>
      <c r="K23" s="718"/>
      <c r="L23" s="718"/>
      <c r="M23" s="718"/>
      <c r="N23" s="718"/>
      <c r="O23" s="718"/>
      <c r="P23" s="718"/>
      <c r="Q23" s="718"/>
      <c r="R23" s="718"/>
      <c r="S23" s="718"/>
      <c r="T23" s="718"/>
      <c r="U23" s="718"/>
      <c r="V23" s="718"/>
      <c r="W23" s="718"/>
      <c r="X23" s="718"/>
      <c r="Y23" s="718"/>
      <c r="Z23" s="718"/>
      <c r="AA23" s="725"/>
      <c r="AB23" s="726">
        <f>'Договор аренды лесов Юр'!T144</f>
        <v>4</v>
      </c>
      <c r="AC23" s="717"/>
      <c r="AD23" s="717"/>
      <c r="AE23" s="717"/>
      <c r="AF23" s="723"/>
      <c r="AG23" s="727">
        <f>'Договор аренды лесов Юр'!X144</f>
        <v>320</v>
      </c>
      <c r="AH23" s="721"/>
      <c r="AI23" s="721"/>
      <c r="AJ23" s="721"/>
      <c r="AK23" s="721"/>
      <c r="AL23" s="721"/>
      <c r="AM23" s="728"/>
      <c r="AN23" s="729">
        <f t="shared" si="0"/>
        <v>1280</v>
      </c>
      <c r="AO23" s="721"/>
      <c r="AP23" s="721"/>
      <c r="AQ23" s="721"/>
      <c r="AR23" s="721"/>
      <c r="AS23" s="721"/>
      <c r="AT23" s="721"/>
      <c r="AU23" s="728"/>
      <c r="BN23" s="80"/>
      <c r="BO23" s="80"/>
      <c r="BP23" s="80"/>
      <c r="DA23" s="387"/>
      <c r="DB23" s="389"/>
      <c r="DC23" s="387"/>
      <c r="DD23" s="387"/>
      <c r="DE23" s="389"/>
      <c r="DF23" s="387"/>
      <c r="DG23" s="387"/>
      <c r="DH23" s="387"/>
      <c r="DI23" s="387"/>
      <c r="DJ23" s="25"/>
      <c r="DK23" s="25"/>
    </row>
    <row r="24" spans="1:116">
      <c r="A24" s="722">
        <v>5</v>
      </c>
      <c r="B24" s="717"/>
      <c r="C24" s="717"/>
      <c r="D24" s="723"/>
      <c r="E24" s="724" t="str">
        <f>'Договор аренды лесов Юр'!C145</f>
        <v>Мостки (настил) деревянные</v>
      </c>
      <c r="F24" s="718"/>
      <c r="G24" s="718"/>
      <c r="H24" s="718"/>
      <c r="I24" s="718"/>
      <c r="J24" s="718"/>
      <c r="K24" s="718"/>
      <c r="L24" s="718"/>
      <c r="M24" s="718"/>
      <c r="N24" s="718"/>
      <c r="O24" s="718"/>
      <c r="P24" s="718"/>
      <c r="Q24" s="718"/>
      <c r="R24" s="718"/>
      <c r="S24" s="718"/>
      <c r="T24" s="718"/>
      <c r="U24" s="718"/>
      <c r="V24" s="718"/>
      <c r="W24" s="718"/>
      <c r="X24" s="718"/>
      <c r="Y24" s="718"/>
      <c r="Z24" s="718"/>
      <c r="AA24" s="725"/>
      <c r="AB24" s="726">
        <f>'Договор аренды лесов Юр'!T145</f>
        <v>12</v>
      </c>
      <c r="AC24" s="717"/>
      <c r="AD24" s="717"/>
      <c r="AE24" s="717"/>
      <c r="AF24" s="723"/>
      <c r="AG24" s="727">
        <f>'Договор аренды лесов Юр'!X145</f>
        <v>450</v>
      </c>
      <c r="AH24" s="721"/>
      <c r="AI24" s="721"/>
      <c r="AJ24" s="721"/>
      <c r="AK24" s="721"/>
      <c r="AL24" s="721"/>
      <c r="AM24" s="728"/>
      <c r="AN24" s="729">
        <f t="shared" si="0"/>
        <v>5400</v>
      </c>
      <c r="AO24" s="721"/>
      <c r="AP24" s="721"/>
      <c r="AQ24" s="721"/>
      <c r="AR24" s="721"/>
      <c r="AS24" s="721"/>
      <c r="AT24" s="721"/>
      <c r="AU24" s="728"/>
      <c r="BN24" s="80"/>
      <c r="BO24" s="80"/>
      <c r="BP24" s="80"/>
      <c r="DA24" s="387"/>
      <c r="DB24" s="389"/>
      <c r="DC24" s="387"/>
      <c r="DD24" s="387"/>
      <c r="DE24" s="389"/>
      <c r="DF24" s="387"/>
      <c r="DG24" s="387"/>
      <c r="DH24" s="387"/>
      <c r="DI24" s="387"/>
      <c r="DJ24" s="25"/>
      <c r="DK24" s="25"/>
    </row>
    <row r="25" spans="1:116" ht="15.75" thickBot="1">
      <c r="A25" s="730">
        <v>6</v>
      </c>
      <c r="B25" s="731"/>
      <c r="C25" s="731"/>
      <c r="D25" s="732"/>
      <c r="E25" s="733" t="str">
        <f>'Договор аренды лесов Юр'!C146</f>
        <v>Ригель для настила</v>
      </c>
      <c r="F25" s="734"/>
      <c r="G25" s="734"/>
      <c r="H25" s="734"/>
      <c r="I25" s="734"/>
      <c r="J25" s="734"/>
      <c r="K25" s="734"/>
      <c r="L25" s="734"/>
      <c r="M25" s="734"/>
      <c r="N25" s="734"/>
      <c r="O25" s="734"/>
      <c r="P25" s="734"/>
      <c r="Q25" s="734"/>
      <c r="R25" s="734"/>
      <c r="S25" s="734"/>
      <c r="T25" s="734"/>
      <c r="U25" s="734"/>
      <c r="V25" s="734"/>
      <c r="W25" s="734"/>
      <c r="X25" s="734"/>
      <c r="Y25" s="734"/>
      <c r="Z25" s="734"/>
      <c r="AA25" s="735"/>
      <c r="AB25" s="736">
        <f>'Договор аренды лесов Юр'!T146</f>
        <v>8</v>
      </c>
      <c r="AC25" s="731"/>
      <c r="AD25" s="731"/>
      <c r="AE25" s="731"/>
      <c r="AF25" s="732"/>
      <c r="AG25" s="737">
        <f>'Договор аренды лесов Юр'!X146</f>
        <v>1120</v>
      </c>
      <c r="AH25" s="738"/>
      <c r="AI25" s="738"/>
      <c r="AJ25" s="738"/>
      <c r="AK25" s="738"/>
      <c r="AL25" s="738"/>
      <c r="AM25" s="739"/>
      <c r="AN25" s="740">
        <f t="shared" si="0"/>
        <v>8960</v>
      </c>
      <c r="AO25" s="738"/>
      <c r="AP25" s="738"/>
      <c r="AQ25" s="738"/>
      <c r="AR25" s="738"/>
      <c r="AS25" s="738"/>
      <c r="AT25" s="738"/>
      <c r="AU25" s="739"/>
      <c r="BN25" s="80"/>
      <c r="BO25" s="80"/>
      <c r="BP25" s="80"/>
      <c r="DA25" s="387"/>
      <c r="DB25" s="389"/>
      <c r="DC25" s="387"/>
      <c r="DD25" s="387"/>
      <c r="DE25" s="389"/>
      <c r="DF25" s="387"/>
      <c r="DG25" s="387"/>
      <c r="DH25" s="387"/>
      <c r="DI25" s="387"/>
      <c r="DJ25" s="25"/>
      <c r="DK25" s="25"/>
    </row>
    <row r="26" spans="1:116" hidden="1">
      <c r="A26" s="712">
        <v>7</v>
      </c>
      <c r="B26" s="712"/>
      <c r="C26" s="712"/>
      <c r="D26" s="712"/>
      <c r="E26" s="713"/>
      <c r="F26" s="713"/>
      <c r="G26" s="713"/>
      <c r="H26" s="713"/>
      <c r="I26" s="713"/>
      <c r="J26" s="713"/>
      <c r="K26" s="713"/>
      <c r="L26" s="713"/>
      <c r="M26" s="713"/>
      <c r="N26" s="713"/>
      <c r="O26" s="713"/>
      <c r="P26" s="713"/>
      <c r="Q26" s="713"/>
      <c r="R26" s="713"/>
      <c r="S26" s="713"/>
      <c r="T26" s="713"/>
      <c r="U26" s="713"/>
      <c r="V26" s="713"/>
      <c r="W26" s="713"/>
      <c r="X26" s="713"/>
      <c r="Y26" s="713"/>
      <c r="Z26" s="713"/>
      <c r="AA26" s="713"/>
      <c r="AB26" s="714"/>
      <c r="AC26" s="712"/>
      <c r="AD26" s="712"/>
      <c r="AE26" s="712"/>
      <c r="AF26" s="712"/>
      <c r="AG26" s="792"/>
      <c r="AH26" s="793"/>
      <c r="AI26" s="793"/>
      <c r="AJ26" s="793"/>
      <c r="AK26" s="793"/>
      <c r="AL26" s="793"/>
      <c r="AM26" s="793"/>
      <c r="AN26" s="792"/>
      <c r="AO26" s="793"/>
      <c r="AP26" s="793"/>
      <c r="AQ26" s="793"/>
      <c r="AR26" s="793"/>
      <c r="AS26" s="793"/>
      <c r="AT26" s="793"/>
      <c r="AU26" s="793"/>
      <c r="DA26" s="387"/>
      <c r="DB26" s="389"/>
      <c r="DC26" s="387"/>
      <c r="DD26" s="387"/>
      <c r="DE26" s="389"/>
      <c r="DF26" s="387"/>
      <c r="DG26" s="387"/>
      <c r="DH26" s="387"/>
      <c r="DI26" s="387"/>
      <c r="DJ26" s="25"/>
      <c r="DK26" s="25"/>
    </row>
    <row r="27" spans="1:116" hidden="1">
      <c r="A27" s="717">
        <v>8</v>
      </c>
      <c r="B27" s="717"/>
      <c r="C27" s="717"/>
      <c r="D27" s="717"/>
      <c r="E27" s="794"/>
      <c r="F27" s="794"/>
      <c r="G27" s="794"/>
      <c r="H27" s="794"/>
      <c r="I27" s="794"/>
      <c r="J27" s="794"/>
      <c r="K27" s="794"/>
      <c r="L27" s="794"/>
      <c r="M27" s="794"/>
      <c r="N27" s="794"/>
      <c r="O27" s="794"/>
      <c r="P27" s="794"/>
      <c r="Q27" s="794"/>
      <c r="R27" s="794"/>
      <c r="S27" s="794"/>
      <c r="T27" s="794"/>
      <c r="U27" s="794"/>
      <c r="V27" s="794"/>
      <c r="W27" s="794"/>
      <c r="X27" s="794"/>
      <c r="Y27" s="794"/>
      <c r="Z27" s="794"/>
      <c r="AA27" s="794"/>
      <c r="AB27" s="772"/>
      <c r="AC27" s="771"/>
      <c r="AD27" s="771"/>
      <c r="AE27" s="771"/>
      <c r="AF27" s="771"/>
      <c r="AG27" s="795"/>
      <c r="AH27" s="796"/>
      <c r="AI27" s="796"/>
      <c r="AJ27" s="796"/>
      <c r="AK27" s="796"/>
      <c r="AL27" s="796"/>
      <c r="AM27" s="796"/>
      <c r="AN27" s="795"/>
      <c r="AO27" s="796"/>
      <c r="AP27" s="796"/>
      <c r="AQ27" s="796"/>
      <c r="AR27" s="796"/>
      <c r="AS27" s="796"/>
      <c r="AT27" s="796"/>
      <c r="AU27" s="796"/>
      <c r="DA27" s="387"/>
      <c r="DB27" s="389"/>
      <c r="DC27" s="387"/>
      <c r="DD27" s="387"/>
      <c r="DE27" s="389"/>
      <c r="DF27" s="387"/>
      <c r="DG27" s="387"/>
      <c r="DH27" s="387"/>
      <c r="DI27" s="387"/>
      <c r="DJ27" s="25"/>
      <c r="DK27" s="25"/>
    </row>
    <row r="28" spans="1:116">
      <c r="A28" s="766"/>
      <c r="B28" s="766"/>
      <c r="C28" s="766"/>
      <c r="D28" s="766"/>
      <c r="E28" s="786"/>
      <c r="F28" s="786"/>
      <c r="G28" s="786"/>
      <c r="H28" s="786"/>
      <c r="I28" s="786"/>
      <c r="J28" s="786"/>
      <c r="K28" s="786"/>
      <c r="L28" s="786"/>
      <c r="M28" s="786"/>
      <c r="N28" s="786"/>
      <c r="O28" s="786"/>
      <c r="P28" s="786"/>
      <c r="Q28" s="786"/>
      <c r="R28" s="786"/>
      <c r="S28" s="786"/>
      <c r="T28" s="786"/>
      <c r="U28" s="786"/>
      <c r="V28" s="786"/>
      <c r="W28" s="786"/>
      <c r="X28" s="786"/>
      <c r="Y28" s="786"/>
      <c r="Z28" s="786"/>
      <c r="AA28" s="786"/>
      <c r="AB28" s="767"/>
      <c r="AC28" s="766"/>
      <c r="AD28" s="766"/>
      <c r="AE28" s="766"/>
      <c r="AF28" s="766"/>
      <c r="AG28" s="787"/>
      <c r="AH28" s="788"/>
      <c r="AI28" s="788"/>
      <c r="AJ28" s="788"/>
      <c r="AK28" s="788"/>
      <c r="AL28" s="788"/>
      <c r="AM28" s="788"/>
      <c r="AN28" s="789">
        <f>SUM(AN20:AU25)</f>
        <v>30440</v>
      </c>
      <c r="AO28" s="790"/>
      <c r="AP28" s="790"/>
      <c r="AQ28" s="790"/>
      <c r="AR28" s="790"/>
      <c r="AS28" s="790"/>
      <c r="AT28" s="790"/>
      <c r="AU28" s="791"/>
      <c r="DA28" s="387"/>
      <c r="DB28" s="389"/>
      <c r="DC28" s="387"/>
      <c r="DD28" s="387"/>
      <c r="DE28" s="389"/>
      <c r="DF28" s="387"/>
      <c r="DG28" s="387"/>
      <c r="DH28" s="387"/>
      <c r="DI28" s="387"/>
      <c r="DJ28" s="25"/>
      <c r="DK28" s="25"/>
    </row>
    <row r="29" spans="1:116">
      <c r="DA29" s="387"/>
      <c r="DB29" s="387"/>
      <c r="DC29" s="387"/>
      <c r="DD29" s="387"/>
      <c r="DE29" s="389"/>
      <c r="DF29" s="401"/>
      <c r="DG29" s="387"/>
      <c r="DH29" s="387"/>
      <c r="DI29" s="387"/>
      <c r="DJ29" s="25"/>
      <c r="DK29" s="25"/>
    </row>
    <row r="30" spans="1:116">
      <c r="A30" t="s">
        <v>615</v>
      </c>
      <c r="DA30" s="387"/>
      <c r="DB30" s="387"/>
      <c r="DC30" s="387"/>
      <c r="DD30" s="387"/>
      <c r="DE30" s="389"/>
      <c r="DF30" s="401"/>
      <c r="DG30" s="387"/>
      <c r="DH30" s="387"/>
      <c r="DI30" s="387"/>
      <c r="DJ30" s="25"/>
      <c r="DK30" s="25"/>
    </row>
    <row r="31" spans="1:116" ht="6.75" customHeight="1" thickBot="1">
      <c r="DA31" s="387"/>
      <c r="DB31" s="387"/>
      <c r="DC31" s="387"/>
      <c r="DD31" s="387"/>
      <c r="DE31" s="389"/>
      <c r="DF31" s="401"/>
      <c r="DG31" s="387"/>
      <c r="DH31" s="387"/>
      <c r="DI31" s="387"/>
      <c r="DJ31" s="25"/>
      <c r="DK31" s="25"/>
    </row>
    <row r="32" spans="1:116" ht="31.5" customHeight="1" thickBot="1">
      <c r="A32" s="755" t="s">
        <v>121</v>
      </c>
      <c r="B32" s="756"/>
      <c r="C32" s="756"/>
      <c r="D32" s="757"/>
      <c r="E32" s="758" t="s">
        <v>31</v>
      </c>
      <c r="F32" s="759"/>
      <c r="G32" s="759"/>
      <c r="H32" s="759"/>
      <c r="I32" s="759"/>
      <c r="J32" s="759"/>
      <c r="K32" s="759"/>
      <c r="L32" s="759"/>
      <c r="M32" s="759"/>
      <c r="N32" s="759"/>
      <c r="O32" s="759"/>
      <c r="P32" s="759"/>
      <c r="Q32" s="759"/>
      <c r="R32" s="759"/>
      <c r="S32" s="759"/>
      <c r="T32" s="759"/>
      <c r="U32" s="759"/>
      <c r="V32" s="759"/>
      <c r="W32" s="759"/>
      <c r="X32" s="759"/>
      <c r="Y32" s="759"/>
      <c r="Z32" s="759"/>
      <c r="AA32" s="760"/>
      <c r="AB32" s="761" t="s">
        <v>471</v>
      </c>
      <c r="AC32" s="756"/>
      <c r="AD32" s="756"/>
      <c r="AE32" s="756"/>
      <c r="AF32" s="757"/>
      <c r="AG32" s="779" t="s">
        <v>122</v>
      </c>
      <c r="AH32" s="756"/>
      <c r="AI32" s="756"/>
      <c r="AJ32" s="756"/>
      <c r="AK32" s="756"/>
      <c r="AL32" s="756"/>
      <c r="AM32" s="765"/>
      <c r="AN32" s="761" t="s">
        <v>548</v>
      </c>
      <c r="AO32" s="756"/>
      <c r="AP32" s="756"/>
      <c r="AQ32" s="756"/>
      <c r="AR32" s="756"/>
      <c r="AS32" s="756"/>
      <c r="AT32" s="756"/>
      <c r="AU32" s="765"/>
      <c r="DA32" s="387"/>
      <c r="DB32" s="387"/>
      <c r="DC32" s="387"/>
      <c r="DD32" s="387"/>
      <c r="DE32" s="389"/>
      <c r="DF32" s="401"/>
      <c r="DG32" s="387"/>
      <c r="DH32" s="387"/>
      <c r="DI32" s="387"/>
      <c r="DJ32" s="25"/>
      <c r="DK32" s="25"/>
    </row>
    <row r="33" spans="1:115">
      <c r="A33" s="742">
        <v>1</v>
      </c>
      <c r="B33" s="743"/>
      <c r="C33" s="743"/>
      <c r="D33" s="744"/>
      <c r="E33" s="742" t="str">
        <f>E20</f>
        <v>Рама проходная ЛСПР-200</v>
      </c>
      <c r="F33" s="743"/>
      <c r="G33" s="743"/>
      <c r="H33" s="743"/>
      <c r="I33" s="743"/>
      <c r="J33" s="743"/>
      <c r="K33" s="743"/>
      <c r="L33" s="743"/>
      <c r="M33" s="743"/>
      <c r="N33" s="743"/>
      <c r="O33" s="743"/>
      <c r="P33" s="743"/>
      <c r="Q33" s="743"/>
      <c r="R33" s="743"/>
      <c r="S33" s="743"/>
      <c r="T33" s="743"/>
      <c r="U33" s="743"/>
      <c r="V33" s="743"/>
      <c r="W33" s="743"/>
      <c r="X33" s="743"/>
      <c r="Y33" s="743"/>
      <c r="Z33" s="743"/>
      <c r="AA33" s="777"/>
      <c r="AB33" s="748">
        <v>3</v>
      </c>
      <c r="AC33" s="743"/>
      <c r="AD33" s="743"/>
      <c r="AE33" s="743"/>
      <c r="AF33" s="744"/>
      <c r="AG33" s="749">
        <f>AG20</f>
        <v>1400</v>
      </c>
      <c r="AH33" s="750"/>
      <c r="AI33" s="750"/>
      <c r="AJ33" s="750"/>
      <c r="AK33" s="750"/>
      <c r="AL33" s="750"/>
      <c r="AM33" s="751"/>
      <c r="AN33" s="752">
        <f>AB33*AG33</f>
        <v>4200</v>
      </c>
      <c r="AO33" s="750"/>
      <c r="AP33" s="750"/>
      <c r="AQ33" s="750"/>
      <c r="AR33" s="750"/>
      <c r="AS33" s="750"/>
      <c r="AT33" s="750"/>
      <c r="AU33" s="751"/>
      <c r="DA33" s="387"/>
      <c r="DB33" s="387"/>
      <c r="DC33" s="387"/>
      <c r="DD33" s="387"/>
      <c r="DE33" s="389"/>
      <c r="DF33" s="401"/>
      <c r="DG33" s="387"/>
      <c r="DH33" s="387"/>
      <c r="DI33" s="387"/>
      <c r="DJ33" s="25"/>
      <c r="DK33" s="25"/>
    </row>
    <row r="34" spans="1:115">
      <c r="A34" s="722">
        <v>2</v>
      </c>
      <c r="B34" s="717"/>
      <c r="C34" s="717"/>
      <c r="D34" s="723"/>
      <c r="E34" s="780" t="str">
        <f t="shared" ref="E34:E38" si="1">E21</f>
        <v xml:space="preserve">Рама с лестницей ЛСПР-200 </v>
      </c>
      <c r="F34" s="781"/>
      <c r="G34" s="781"/>
      <c r="H34" s="781"/>
      <c r="I34" s="781"/>
      <c r="J34" s="781"/>
      <c r="K34" s="781"/>
      <c r="L34" s="781"/>
      <c r="M34" s="781"/>
      <c r="N34" s="781"/>
      <c r="O34" s="781"/>
      <c r="P34" s="781"/>
      <c r="Q34" s="781"/>
      <c r="R34" s="781"/>
      <c r="S34" s="781"/>
      <c r="T34" s="781"/>
      <c r="U34" s="781"/>
      <c r="V34" s="781"/>
      <c r="W34" s="781"/>
      <c r="X34" s="781"/>
      <c r="Y34" s="781"/>
      <c r="Z34" s="781"/>
      <c r="AA34" s="782"/>
      <c r="AB34" s="726">
        <v>2</v>
      </c>
      <c r="AC34" s="717"/>
      <c r="AD34" s="717"/>
      <c r="AE34" s="717"/>
      <c r="AF34" s="723"/>
      <c r="AG34" s="727">
        <f t="shared" ref="AG34:AG38" si="2">AG21</f>
        <v>1670</v>
      </c>
      <c r="AH34" s="721"/>
      <c r="AI34" s="721"/>
      <c r="AJ34" s="721"/>
      <c r="AK34" s="721"/>
      <c r="AL34" s="721"/>
      <c r="AM34" s="728"/>
      <c r="AN34" s="729">
        <f t="shared" ref="AN34:AN40" si="3">AB34*AG34</f>
        <v>3340</v>
      </c>
      <c r="AO34" s="721"/>
      <c r="AP34" s="721"/>
      <c r="AQ34" s="721"/>
      <c r="AR34" s="721"/>
      <c r="AS34" s="721"/>
      <c r="AT34" s="721"/>
      <c r="AU34" s="728"/>
      <c r="DA34" s="387"/>
      <c r="DB34" s="387"/>
      <c r="DC34" s="387"/>
      <c r="DD34" s="387"/>
      <c r="DE34" s="389"/>
      <c r="DF34" s="401"/>
      <c r="DG34" s="387"/>
      <c r="DH34" s="387"/>
      <c r="DI34" s="387"/>
      <c r="DJ34" s="25"/>
      <c r="DK34" s="25"/>
    </row>
    <row r="35" spans="1:115">
      <c r="A35" s="722">
        <v>3</v>
      </c>
      <c r="B35" s="717"/>
      <c r="C35" s="717"/>
      <c r="D35" s="723"/>
      <c r="E35" s="780" t="str">
        <f t="shared" si="1"/>
        <v>Диагональная связь (3,3 м) ЛСПР-200</v>
      </c>
      <c r="F35" s="781"/>
      <c r="G35" s="781"/>
      <c r="H35" s="781"/>
      <c r="I35" s="781"/>
      <c r="J35" s="781"/>
      <c r="K35" s="781"/>
      <c r="L35" s="781"/>
      <c r="M35" s="781"/>
      <c r="N35" s="781"/>
      <c r="O35" s="781"/>
      <c r="P35" s="781"/>
      <c r="Q35" s="781"/>
      <c r="R35" s="781"/>
      <c r="S35" s="781"/>
      <c r="T35" s="781"/>
      <c r="U35" s="781"/>
      <c r="V35" s="781"/>
      <c r="W35" s="781"/>
      <c r="X35" s="781"/>
      <c r="Y35" s="781"/>
      <c r="Z35" s="781"/>
      <c r="AA35" s="782"/>
      <c r="AB35" s="726">
        <v>1</v>
      </c>
      <c r="AC35" s="717"/>
      <c r="AD35" s="717"/>
      <c r="AE35" s="717"/>
      <c r="AF35" s="723"/>
      <c r="AG35" s="727">
        <f t="shared" si="2"/>
        <v>630</v>
      </c>
      <c r="AH35" s="721"/>
      <c r="AI35" s="721"/>
      <c r="AJ35" s="721"/>
      <c r="AK35" s="721"/>
      <c r="AL35" s="721"/>
      <c r="AM35" s="728"/>
      <c r="AN35" s="729">
        <f t="shared" si="3"/>
        <v>630</v>
      </c>
      <c r="AO35" s="721"/>
      <c r="AP35" s="721"/>
      <c r="AQ35" s="721"/>
      <c r="AR35" s="721"/>
      <c r="AS35" s="721"/>
      <c r="AT35" s="721"/>
      <c r="AU35" s="728"/>
      <c r="DA35" s="387"/>
      <c r="DB35" s="387"/>
      <c r="DC35" s="387"/>
      <c r="DD35" s="387"/>
      <c r="DE35" s="389"/>
      <c r="DF35" s="401"/>
      <c r="DG35" s="387"/>
      <c r="DH35" s="387"/>
      <c r="DI35" s="387"/>
      <c r="DJ35" s="25"/>
      <c r="DK35" s="25"/>
    </row>
    <row r="36" spans="1:115">
      <c r="A36" s="722">
        <v>4</v>
      </c>
      <c r="B36" s="717"/>
      <c r="C36" s="717"/>
      <c r="D36" s="723"/>
      <c r="E36" s="780" t="str">
        <f t="shared" si="1"/>
        <v>Горизонтальная связь (3м) ЛСПР-200</v>
      </c>
      <c r="F36" s="781"/>
      <c r="G36" s="781"/>
      <c r="H36" s="781"/>
      <c r="I36" s="781"/>
      <c r="J36" s="781"/>
      <c r="K36" s="781"/>
      <c r="L36" s="781"/>
      <c r="M36" s="781"/>
      <c r="N36" s="781"/>
      <c r="O36" s="781"/>
      <c r="P36" s="781"/>
      <c r="Q36" s="781"/>
      <c r="R36" s="781"/>
      <c r="S36" s="781"/>
      <c r="T36" s="781"/>
      <c r="U36" s="781"/>
      <c r="V36" s="781"/>
      <c r="W36" s="781"/>
      <c r="X36" s="781"/>
      <c r="Y36" s="781"/>
      <c r="Z36" s="781"/>
      <c r="AA36" s="782"/>
      <c r="AB36" s="726">
        <v>0</v>
      </c>
      <c r="AC36" s="717"/>
      <c r="AD36" s="717"/>
      <c r="AE36" s="717"/>
      <c r="AF36" s="723"/>
      <c r="AG36" s="727">
        <f t="shared" si="2"/>
        <v>320</v>
      </c>
      <c r="AH36" s="721"/>
      <c r="AI36" s="721"/>
      <c r="AJ36" s="721"/>
      <c r="AK36" s="721"/>
      <c r="AL36" s="721"/>
      <c r="AM36" s="728"/>
      <c r="AN36" s="729">
        <f t="shared" si="3"/>
        <v>0</v>
      </c>
      <c r="AO36" s="721"/>
      <c r="AP36" s="721"/>
      <c r="AQ36" s="721"/>
      <c r="AR36" s="721"/>
      <c r="AS36" s="721"/>
      <c r="AT36" s="721"/>
      <c r="AU36" s="728"/>
      <c r="DA36" s="387"/>
      <c r="DB36" s="387"/>
      <c r="DC36" s="387"/>
      <c r="DD36" s="387"/>
      <c r="DE36" s="389"/>
      <c r="DF36" s="401"/>
      <c r="DG36" s="387"/>
      <c r="DH36" s="387"/>
      <c r="DI36" s="387"/>
      <c r="DJ36" s="25"/>
      <c r="DK36" s="25"/>
    </row>
    <row r="37" spans="1:115">
      <c r="A37" s="722">
        <v>5</v>
      </c>
      <c r="B37" s="717"/>
      <c r="C37" s="717"/>
      <c r="D37" s="723"/>
      <c r="E37" s="780" t="str">
        <f t="shared" si="1"/>
        <v>Мостки (настил) деревянные</v>
      </c>
      <c r="F37" s="781"/>
      <c r="G37" s="781"/>
      <c r="H37" s="781"/>
      <c r="I37" s="781"/>
      <c r="J37" s="781"/>
      <c r="K37" s="781"/>
      <c r="L37" s="781"/>
      <c r="M37" s="781"/>
      <c r="N37" s="781"/>
      <c r="O37" s="781"/>
      <c r="P37" s="781"/>
      <c r="Q37" s="781"/>
      <c r="R37" s="781"/>
      <c r="S37" s="781"/>
      <c r="T37" s="781"/>
      <c r="U37" s="781"/>
      <c r="V37" s="781"/>
      <c r="W37" s="781"/>
      <c r="X37" s="781"/>
      <c r="Y37" s="781"/>
      <c r="Z37" s="781"/>
      <c r="AA37" s="782"/>
      <c r="AB37" s="726">
        <v>10</v>
      </c>
      <c r="AC37" s="717"/>
      <c r="AD37" s="717"/>
      <c r="AE37" s="717"/>
      <c r="AF37" s="723"/>
      <c r="AG37" s="727">
        <f t="shared" si="2"/>
        <v>450</v>
      </c>
      <c r="AH37" s="721"/>
      <c r="AI37" s="721"/>
      <c r="AJ37" s="721"/>
      <c r="AK37" s="721"/>
      <c r="AL37" s="721"/>
      <c r="AM37" s="728"/>
      <c r="AN37" s="729">
        <f t="shared" si="3"/>
        <v>4500</v>
      </c>
      <c r="AO37" s="721"/>
      <c r="AP37" s="721"/>
      <c r="AQ37" s="721"/>
      <c r="AR37" s="721"/>
      <c r="AS37" s="721"/>
      <c r="AT37" s="721"/>
      <c r="AU37" s="728"/>
      <c r="DA37" s="387"/>
      <c r="DB37" s="387"/>
      <c r="DC37" s="387"/>
      <c r="DD37" s="387"/>
      <c r="DE37" s="389"/>
      <c r="DF37" s="401"/>
      <c r="DG37" s="387"/>
      <c r="DH37" s="387"/>
      <c r="DI37" s="387"/>
      <c r="DJ37" s="25"/>
      <c r="DK37" s="25"/>
    </row>
    <row r="38" spans="1:115" ht="15.75" thickBot="1">
      <c r="A38" s="730">
        <v>6</v>
      </c>
      <c r="B38" s="731"/>
      <c r="C38" s="731"/>
      <c r="D38" s="732"/>
      <c r="E38" s="783" t="str">
        <f t="shared" si="1"/>
        <v>Ригель для настила</v>
      </c>
      <c r="F38" s="784"/>
      <c r="G38" s="784"/>
      <c r="H38" s="784"/>
      <c r="I38" s="784"/>
      <c r="J38" s="784"/>
      <c r="K38" s="784"/>
      <c r="L38" s="784"/>
      <c r="M38" s="784"/>
      <c r="N38" s="784"/>
      <c r="O38" s="784"/>
      <c r="P38" s="784"/>
      <c r="Q38" s="784"/>
      <c r="R38" s="784"/>
      <c r="S38" s="784"/>
      <c r="T38" s="784"/>
      <c r="U38" s="784"/>
      <c r="V38" s="784"/>
      <c r="W38" s="784"/>
      <c r="X38" s="784"/>
      <c r="Y38" s="784"/>
      <c r="Z38" s="784"/>
      <c r="AA38" s="785"/>
      <c r="AB38" s="736">
        <v>0</v>
      </c>
      <c r="AC38" s="731"/>
      <c r="AD38" s="731"/>
      <c r="AE38" s="731"/>
      <c r="AF38" s="732"/>
      <c r="AG38" s="737">
        <f t="shared" si="2"/>
        <v>1120</v>
      </c>
      <c r="AH38" s="738"/>
      <c r="AI38" s="738"/>
      <c r="AJ38" s="738"/>
      <c r="AK38" s="738"/>
      <c r="AL38" s="738"/>
      <c r="AM38" s="739"/>
      <c r="AN38" s="740">
        <f t="shared" si="3"/>
        <v>0</v>
      </c>
      <c r="AO38" s="738"/>
      <c r="AP38" s="738"/>
      <c r="AQ38" s="738"/>
      <c r="AR38" s="738"/>
      <c r="AS38" s="738"/>
      <c r="AT38" s="738"/>
      <c r="AU38" s="739"/>
      <c r="DA38" s="387"/>
      <c r="DB38" s="387"/>
      <c r="DC38" s="387"/>
      <c r="DD38" s="387"/>
      <c r="DE38" s="389"/>
      <c r="DF38" s="401"/>
      <c r="DG38" s="387"/>
      <c r="DH38" s="387"/>
      <c r="DI38" s="387"/>
      <c r="DJ38" s="25"/>
      <c r="DK38" s="25"/>
    </row>
    <row r="39" spans="1:115" hidden="1">
      <c r="A39" s="712">
        <v>7</v>
      </c>
      <c r="B39" s="712"/>
      <c r="C39" s="712"/>
      <c r="D39" s="712"/>
      <c r="E39" s="712">
        <f>E26</f>
        <v>0</v>
      </c>
      <c r="F39" s="712"/>
      <c r="G39" s="712"/>
      <c r="H39" s="712"/>
      <c r="I39" s="712"/>
      <c r="J39" s="712"/>
      <c r="K39" s="712"/>
      <c r="L39" s="712"/>
      <c r="M39" s="712"/>
      <c r="N39" s="712"/>
      <c r="O39" s="712"/>
      <c r="P39" s="712"/>
      <c r="Q39" s="712"/>
      <c r="R39" s="712"/>
      <c r="S39" s="712"/>
      <c r="T39" s="712"/>
      <c r="U39" s="712"/>
      <c r="V39" s="712"/>
      <c r="W39" s="712"/>
      <c r="X39" s="712"/>
      <c r="Y39" s="712"/>
      <c r="Z39" s="712"/>
      <c r="AA39" s="712"/>
      <c r="AB39" s="714">
        <v>0</v>
      </c>
      <c r="AC39" s="712"/>
      <c r="AD39" s="712"/>
      <c r="AE39" s="712"/>
      <c r="AF39" s="712"/>
      <c r="AG39" s="714">
        <f>AG26</f>
        <v>0</v>
      </c>
      <c r="AH39" s="712"/>
      <c r="AI39" s="712"/>
      <c r="AJ39" s="712"/>
      <c r="AK39" s="712"/>
      <c r="AL39" s="712"/>
      <c r="AM39" s="712"/>
      <c r="AN39" s="714">
        <f t="shared" si="3"/>
        <v>0</v>
      </c>
      <c r="AO39" s="712"/>
      <c r="AP39" s="712"/>
      <c r="AQ39" s="712"/>
      <c r="AR39" s="712"/>
      <c r="AS39" s="712"/>
      <c r="AT39" s="712"/>
      <c r="AU39" s="712"/>
      <c r="DA39" s="387"/>
      <c r="DB39" s="387"/>
      <c r="DC39" s="387"/>
      <c r="DD39" s="387"/>
      <c r="DE39" s="389"/>
      <c r="DF39" s="401"/>
      <c r="DG39" s="387"/>
      <c r="DH39" s="387"/>
      <c r="DI39" s="387"/>
      <c r="DJ39" s="25"/>
      <c r="DK39" s="25"/>
    </row>
    <row r="40" spans="1:115" hidden="1">
      <c r="A40" s="717">
        <v>8</v>
      </c>
      <c r="B40" s="717"/>
      <c r="C40" s="717"/>
      <c r="D40" s="717"/>
      <c r="E40" s="717">
        <f>E27</f>
        <v>0</v>
      </c>
      <c r="F40" s="717"/>
      <c r="G40" s="717"/>
      <c r="H40" s="717"/>
      <c r="I40" s="717"/>
      <c r="J40" s="717"/>
      <c r="K40" s="717"/>
      <c r="L40" s="717"/>
      <c r="M40" s="717"/>
      <c r="N40" s="717"/>
      <c r="O40" s="717"/>
      <c r="P40" s="717"/>
      <c r="Q40" s="717"/>
      <c r="R40" s="717"/>
      <c r="S40" s="717"/>
      <c r="T40" s="717"/>
      <c r="U40" s="717"/>
      <c r="V40" s="717"/>
      <c r="W40" s="717"/>
      <c r="X40" s="717"/>
      <c r="Y40" s="717"/>
      <c r="Z40" s="717"/>
      <c r="AA40" s="717"/>
      <c r="AB40" s="719">
        <v>0</v>
      </c>
      <c r="AC40" s="717"/>
      <c r="AD40" s="717"/>
      <c r="AE40" s="717"/>
      <c r="AF40" s="717"/>
      <c r="AG40" s="719">
        <f>AG27</f>
        <v>0</v>
      </c>
      <c r="AH40" s="717"/>
      <c r="AI40" s="717"/>
      <c r="AJ40" s="717"/>
      <c r="AK40" s="717"/>
      <c r="AL40" s="717"/>
      <c r="AM40" s="717"/>
      <c r="AN40" s="719">
        <f t="shared" si="3"/>
        <v>0</v>
      </c>
      <c r="AO40" s="717"/>
      <c r="AP40" s="717"/>
      <c r="AQ40" s="717"/>
      <c r="AR40" s="717"/>
      <c r="AS40" s="717"/>
      <c r="AT40" s="717"/>
      <c r="AU40" s="717"/>
      <c r="DA40" s="387"/>
      <c r="DB40" s="387"/>
      <c r="DC40" s="387"/>
      <c r="DD40" s="387"/>
      <c r="DE40" s="389"/>
      <c r="DF40" s="401"/>
      <c r="DG40" s="387"/>
      <c r="DH40" s="387"/>
      <c r="DI40" s="387"/>
      <c r="DJ40" s="25"/>
      <c r="DK40" s="25"/>
    </row>
    <row r="41" spans="1:115">
      <c r="A41" s="766"/>
      <c r="B41" s="766"/>
      <c r="C41" s="766"/>
      <c r="D41" s="766"/>
      <c r="E41" s="766"/>
      <c r="F41" s="766"/>
      <c r="G41" s="766"/>
      <c r="H41" s="766"/>
      <c r="I41" s="766"/>
      <c r="J41" s="766"/>
      <c r="K41" s="766"/>
      <c r="L41" s="766"/>
      <c r="M41" s="766"/>
      <c r="N41" s="766"/>
      <c r="O41" s="766"/>
      <c r="P41" s="766"/>
      <c r="Q41" s="766"/>
      <c r="R41" s="766"/>
      <c r="S41" s="766"/>
      <c r="T41" s="766"/>
      <c r="U41" s="766"/>
      <c r="V41" s="766"/>
      <c r="W41" s="766"/>
      <c r="X41" s="766"/>
      <c r="Y41" s="766"/>
      <c r="Z41" s="766"/>
      <c r="AA41" s="766"/>
      <c r="AB41" s="767"/>
      <c r="AC41" s="766"/>
      <c r="AD41" s="766"/>
      <c r="AE41" s="766"/>
      <c r="AF41" s="766"/>
      <c r="AG41" s="767"/>
      <c r="AH41" s="766"/>
      <c r="AI41" s="766"/>
      <c r="AJ41" s="766"/>
      <c r="AK41" s="766"/>
      <c r="AL41" s="766"/>
      <c r="AM41" s="766"/>
      <c r="AN41" s="708">
        <f>SUM(AN33:AU38)</f>
        <v>12670</v>
      </c>
      <c r="AO41" s="709"/>
      <c r="AP41" s="709"/>
      <c r="AQ41" s="709"/>
      <c r="AR41" s="709"/>
      <c r="AS41" s="709"/>
      <c r="AT41" s="709"/>
      <c r="AU41" s="709"/>
      <c r="DA41" s="387"/>
      <c r="DB41" s="387"/>
      <c r="DC41" s="387"/>
      <c r="DD41" s="387"/>
      <c r="DE41" s="389"/>
      <c r="DF41" s="401"/>
      <c r="DG41" s="387"/>
      <c r="DH41" s="387"/>
      <c r="DI41" s="387"/>
      <c r="DJ41" s="25"/>
      <c r="DK41" s="25"/>
    </row>
    <row r="42" spans="1:115">
      <c r="DA42" s="387"/>
      <c r="DB42" s="402"/>
      <c r="DC42" s="387"/>
      <c r="DD42" s="387"/>
      <c r="DE42" s="403"/>
      <c r="DF42" s="401"/>
      <c r="DG42" s="387"/>
      <c r="DH42" s="387"/>
      <c r="DI42" s="387"/>
      <c r="DJ42" s="25"/>
      <c r="DK42" s="25"/>
    </row>
    <row r="43" spans="1:115" ht="29.25" customHeight="1">
      <c r="A43" s="710" t="str">
        <f ca="1">CONCATENATE("Остаток не возвращенного оборудования с ценами в соответствии с приложением №1 к Договору аренды оборудования №",ДляДоговора!B2," от ",ДляДоговора!B3)</f>
        <v>Остаток не возвращенного оборудования с ценами в соответствии с приложением №1 к Договору аренды оборудования №30/03-А(23) от 30 марта 2023г.</v>
      </c>
      <c r="B43" s="710"/>
      <c r="C43" s="710"/>
      <c r="D43" s="710"/>
      <c r="E43" s="710"/>
      <c r="F43" s="710"/>
      <c r="G43" s="710"/>
      <c r="H43" s="710"/>
      <c r="I43" s="710"/>
      <c r="J43" s="710"/>
      <c r="K43" s="710"/>
      <c r="L43" s="710"/>
      <c r="M43" s="710"/>
      <c r="N43" s="710"/>
      <c r="O43" s="710"/>
      <c r="P43" s="710"/>
      <c r="Q43" s="710"/>
      <c r="R43" s="710"/>
      <c r="S43" s="710"/>
      <c r="T43" s="710"/>
      <c r="U43" s="710"/>
      <c r="V43" s="710"/>
      <c r="W43" s="710"/>
      <c r="X43" s="710"/>
      <c r="Y43" s="710"/>
      <c r="Z43" s="710"/>
      <c r="AA43" s="710"/>
      <c r="AB43" s="710"/>
      <c r="AC43" s="710"/>
      <c r="AD43" s="710"/>
      <c r="AE43" s="710"/>
      <c r="AF43" s="710"/>
      <c r="AG43" s="710"/>
      <c r="AH43" s="710"/>
      <c r="AI43" s="710"/>
      <c r="AJ43" s="710"/>
      <c r="AK43" s="710"/>
      <c r="AL43" s="710"/>
      <c r="AM43" s="710"/>
      <c r="AN43" s="710"/>
      <c r="AO43" s="710"/>
      <c r="AP43" s="710"/>
      <c r="AQ43" s="710"/>
      <c r="AR43" s="710"/>
      <c r="AS43" s="710"/>
      <c r="AT43" s="710"/>
      <c r="AU43" s="710"/>
      <c r="DA43" s="387"/>
      <c r="DB43" s="387"/>
      <c r="DC43" s="387"/>
      <c r="DD43" s="387"/>
      <c r="DE43" s="389"/>
      <c r="DF43" s="401"/>
      <c r="DG43" s="387"/>
      <c r="DH43" s="387"/>
      <c r="DI43" s="387"/>
      <c r="DJ43" s="25"/>
      <c r="DK43" s="25"/>
    </row>
    <row r="44" spans="1:115" ht="7.5" customHeight="1" thickBot="1">
      <c r="DA44" s="387"/>
      <c r="DB44" s="402"/>
      <c r="DC44" s="387"/>
      <c r="DD44" s="387"/>
      <c r="DE44" s="403"/>
      <c r="DF44" s="401"/>
      <c r="DG44" s="387"/>
      <c r="DH44" s="387"/>
      <c r="DI44" s="387"/>
      <c r="DJ44" s="25"/>
      <c r="DK44" s="25"/>
    </row>
    <row r="45" spans="1:115" ht="31.5" customHeight="1" thickBot="1">
      <c r="A45" s="755" t="s">
        <v>121</v>
      </c>
      <c r="B45" s="756"/>
      <c r="C45" s="756"/>
      <c r="D45" s="757"/>
      <c r="E45" s="758" t="s">
        <v>31</v>
      </c>
      <c r="F45" s="759"/>
      <c r="G45" s="759"/>
      <c r="H45" s="759"/>
      <c r="I45" s="759"/>
      <c r="J45" s="759"/>
      <c r="K45" s="759"/>
      <c r="L45" s="759"/>
      <c r="M45" s="759"/>
      <c r="N45" s="759"/>
      <c r="O45" s="759"/>
      <c r="P45" s="759"/>
      <c r="Q45" s="759"/>
      <c r="R45" s="759"/>
      <c r="S45" s="759"/>
      <c r="T45" s="759"/>
      <c r="U45" s="759"/>
      <c r="V45" s="759"/>
      <c r="W45" s="759"/>
      <c r="X45" s="759"/>
      <c r="Y45" s="759"/>
      <c r="Z45" s="759"/>
      <c r="AA45" s="760"/>
      <c r="AB45" s="761" t="s">
        <v>471</v>
      </c>
      <c r="AC45" s="756"/>
      <c r="AD45" s="756"/>
      <c r="AE45" s="756"/>
      <c r="AF45" s="757"/>
      <c r="AG45" s="779" t="s">
        <v>122</v>
      </c>
      <c r="AH45" s="756"/>
      <c r="AI45" s="756"/>
      <c r="AJ45" s="756"/>
      <c r="AK45" s="756"/>
      <c r="AL45" s="756"/>
      <c r="AM45" s="765"/>
      <c r="AN45" s="761" t="s">
        <v>548</v>
      </c>
      <c r="AO45" s="756"/>
      <c r="AP45" s="756"/>
      <c r="AQ45" s="756"/>
      <c r="AR45" s="756"/>
      <c r="AS45" s="756"/>
      <c r="AT45" s="756"/>
      <c r="AU45" s="765"/>
      <c r="DA45" s="387"/>
      <c r="DB45" s="387"/>
      <c r="DC45" s="387"/>
      <c r="DD45" s="387"/>
      <c r="DE45" s="389"/>
      <c r="DF45" s="401"/>
      <c r="DG45" s="387"/>
      <c r="DH45" s="387"/>
      <c r="DI45" s="387"/>
      <c r="DJ45" s="25"/>
      <c r="DK45" s="25"/>
    </row>
    <row r="46" spans="1:115">
      <c r="A46" s="742">
        <v>1</v>
      </c>
      <c r="B46" s="743"/>
      <c r="C46" s="743"/>
      <c r="D46" s="744"/>
      <c r="E46" s="742" t="str">
        <f>E20</f>
        <v>Рама проходная ЛСПР-200</v>
      </c>
      <c r="F46" s="743"/>
      <c r="G46" s="743"/>
      <c r="H46" s="743"/>
      <c r="I46" s="743"/>
      <c r="J46" s="743"/>
      <c r="K46" s="743"/>
      <c r="L46" s="743"/>
      <c r="M46" s="743"/>
      <c r="N46" s="743"/>
      <c r="O46" s="743"/>
      <c r="P46" s="743"/>
      <c r="Q46" s="743"/>
      <c r="R46" s="743"/>
      <c r="S46" s="743"/>
      <c r="T46" s="743"/>
      <c r="U46" s="743"/>
      <c r="V46" s="743"/>
      <c r="W46" s="743"/>
      <c r="X46" s="743"/>
      <c r="Y46" s="743"/>
      <c r="Z46" s="743"/>
      <c r="AA46" s="777"/>
      <c r="AB46" s="748">
        <f t="shared" ref="AB46:AB53" si="4">AB20-AB33</f>
        <v>1</v>
      </c>
      <c r="AC46" s="743"/>
      <c r="AD46" s="743"/>
      <c r="AE46" s="743"/>
      <c r="AF46" s="744"/>
      <c r="AG46" s="778">
        <f>AG20</f>
        <v>1400</v>
      </c>
      <c r="AH46" s="743"/>
      <c r="AI46" s="743"/>
      <c r="AJ46" s="743"/>
      <c r="AK46" s="743"/>
      <c r="AL46" s="743"/>
      <c r="AM46" s="777"/>
      <c r="AN46" s="748">
        <f>AB46*AG46</f>
        <v>1400</v>
      </c>
      <c r="AO46" s="743"/>
      <c r="AP46" s="743"/>
      <c r="AQ46" s="743"/>
      <c r="AR46" s="743"/>
      <c r="AS46" s="743"/>
      <c r="AT46" s="743"/>
      <c r="AU46" s="777"/>
      <c r="DA46" s="387"/>
      <c r="DB46" s="402"/>
      <c r="DC46" s="387"/>
      <c r="DD46" s="387"/>
      <c r="DE46" s="403"/>
      <c r="DF46" s="401"/>
      <c r="DG46" s="387"/>
      <c r="DH46" s="387"/>
      <c r="DI46" s="387"/>
      <c r="DJ46" s="25"/>
      <c r="DK46" s="25"/>
    </row>
    <row r="47" spans="1:115">
      <c r="A47" s="722">
        <v>2</v>
      </c>
      <c r="B47" s="717"/>
      <c r="C47" s="717"/>
      <c r="D47" s="723"/>
      <c r="E47" s="722" t="str">
        <f t="shared" ref="E47:E53" si="5">E21</f>
        <v xml:space="preserve">Рама с лестницей ЛСПР-200 </v>
      </c>
      <c r="F47" s="717"/>
      <c r="G47" s="717"/>
      <c r="H47" s="717"/>
      <c r="I47" s="717"/>
      <c r="J47" s="717"/>
      <c r="K47" s="717"/>
      <c r="L47" s="717"/>
      <c r="M47" s="717"/>
      <c r="N47" s="717"/>
      <c r="O47" s="717"/>
      <c r="P47" s="717"/>
      <c r="Q47" s="717"/>
      <c r="R47" s="717"/>
      <c r="S47" s="717"/>
      <c r="T47" s="717"/>
      <c r="U47" s="717"/>
      <c r="V47" s="717"/>
      <c r="W47" s="717"/>
      <c r="X47" s="717"/>
      <c r="Y47" s="717"/>
      <c r="Z47" s="717"/>
      <c r="AA47" s="773"/>
      <c r="AB47" s="726">
        <f t="shared" si="4"/>
        <v>2</v>
      </c>
      <c r="AC47" s="717"/>
      <c r="AD47" s="717"/>
      <c r="AE47" s="717"/>
      <c r="AF47" s="723"/>
      <c r="AG47" s="774">
        <f t="shared" ref="AG47:AG53" si="6">AG21</f>
        <v>1670</v>
      </c>
      <c r="AH47" s="717"/>
      <c r="AI47" s="717"/>
      <c r="AJ47" s="717"/>
      <c r="AK47" s="717"/>
      <c r="AL47" s="717"/>
      <c r="AM47" s="773"/>
      <c r="AN47" s="726">
        <f t="shared" ref="AN47:AN53" si="7">AB47*AG47</f>
        <v>3340</v>
      </c>
      <c r="AO47" s="717"/>
      <c r="AP47" s="717"/>
      <c r="AQ47" s="717"/>
      <c r="AR47" s="717"/>
      <c r="AS47" s="717"/>
      <c r="AT47" s="717"/>
      <c r="AU47" s="773"/>
      <c r="DA47" s="387"/>
      <c r="DB47" s="387"/>
      <c r="DC47" s="387"/>
      <c r="DD47" s="387"/>
      <c r="DE47" s="389"/>
      <c r="DF47" s="401"/>
      <c r="DG47" s="387"/>
      <c r="DH47" s="387"/>
      <c r="DI47" s="387"/>
      <c r="DJ47" s="25"/>
      <c r="DK47" s="25"/>
    </row>
    <row r="48" spans="1:115">
      <c r="A48" s="722">
        <v>3</v>
      </c>
      <c r="B48" s="717"/>
      <c r="C48" s="717"/>
      <c r="D48" s="723"/>
      <c r="E48" s="722" t="str">
        <f t="shared" si="5"/>
        <v>Диагональная связь (3,3 м) ЛСПР-200</v>
      </c>
      <c r="F48" s="717"/>
      <c r="G48" s="717"/>
      <c r="H48" s="717"/>
      <c r="I48" s="717"/>
      <c r="J48" s="717"/>
      <c r="K48" s="717"/>
      <c r="L48" s="717"/>
      <c r="M48" s="717"/>
      <c r="N48" s="717"/>
      <c r="O48" s="717"/>
      <c r="P48" s="717"/>
      <c r="Q48" s="717"/>
      <c r="R48" s="717"/>
      <c r="S48" s="717"/>
      <c r="T48" s="717"/>
      <c r="U48" s="717"/>
      <c r="V48" s="717"/>
      <c r="W48" s="717"/>
      <c r="X48" s="717"/>
      <c r="Y48" s="717"/>
      <c r="Z48" s="717"/>
      <c r="AA48" s="773"/>
      <c r="AB48" s="726">
        <f t="shared" si="4"/>
        <v>3</v>
      </c>
      <c r="AC48" s="717"/>
      <c r="AD48" s="717"/>
      <c r="AE48" s="717"/>
      <c r="AF48" s="723"/>
      <c r="AG48" s="774">
        <f t="shared" si="6"/>
        <v>630</v>
      </c>
      <c r="AH48" s="717"/>
      <c r="AI48" s="717"/>
      <c r="AJ48" s="717"/>
      <c r="AK48" s="717"/>
      <c r="AL48" s="717"/>
      <c r="AM48" s="773"/>
      <c r="AN48" s="726">
        <f t="shared" si="7"/>
        <v>1890</v>
      </c>
      <c r="AO48" s="717"/>
      <c r="AP48" s="717"/>
      <c r="AQ48" s="717"/>
      <c r="AR48" s="717"/>
      <c r="AS48" s="717"/>
      <c r="AT48" s="717"/>
      <c r="AU48" s="773"/>
      <c r="DA48" s="387"/>
      <c r="DB48" s="387"/>
      <c r="DC48" s="387"/>
      <c r="DD48" s="387"/>
      <c r="DE48" s="389"/>
      <c r="DF48" s="401"/>
      <c r="DG48" s="387"/>
      <c r="DH48" s="387"/>
      <c r="DI48" s="387"/>
      <c r="DJ48" s="25"/>
      <c r="DK48" s="25"/>
    </row>
    <row r="49" spans="1:115">
      <c r="A49" s="722">
        <v>4</v>
      </c>
      <c r="B49" s="717"/>
      <c r="C49" s="717"/>
      <c r="D49" s="723"/>
      <c r="E49" s="722" t="str">
        <f t="shared" si="5"/>
        <v>Горизонтальная связь (3м) ЛСПР-200</v>
      </c>
      <c r="F49" s="717"/>
      <c r="G49" s="717"/>
      <c r="H49" s="717"/>
      <c r="I49" s="717"/>
      <c r="J49" s="717"/>
      <c r="K49" s="717"/>
      <c r="L49" s="717"/>
      <c r="M49" s="717"/>
      <c r="N49" s="717"/>
      <c r="O49" s="717"/>
      <c r="P49" s="717"/>
      <c r="Q49" s="717"/>
      <c r="R49" s="717"/>
      <c r="S49" s="717"/>
      <c r="T49" s="717"/>
      <c r="U49" s="717"/>
      <c r="V49" s="717"/>
      <c r="W49" s="717"/>
      <c r="X49" s="717"/>
      <c r="Y49" s="717"/>
      <c r="Z49" s="717"/>
      <c r="AA49" s="773"/>
      <c r="AB49" s="726">
        <f t="shared" si="4"/>
        <v>4</v>
      </c>
      <c r="AC49" s="717"/>
      <c r="AD49" s="717"/>
      <c r="AE49" s="717"/>
      <c r="AF49" s="723"/>
      <c r="AG49" s="774">
        <f t="shared" si="6"/>
        <v>320</v>
      </c>
      <c r="AH49" s="717"/>
      <c r="AI49" s="717"/>
      <c r="AJ49" s="717"/>
      <c r="AK49" s="717"/>
      <c r="AL49" s="717"/>
      <c r="AM49" s="773"/>
      <c r="AN49" s="726">
        <f t="shared" si="7"/>
        <v>1280</v>
      </c>
      <c r="AO49" s="717"/>
      <c r="AP49" s="717"/>
      <c r="AQ49" s="717"/>
      <c r="AR49" s="717"/>
      <c r="AS49" s="717"/>
      <c r="AT49" s="717"/>
      <c r="AU49" s="773"/>
      <c r="DA49" s="387"/>
      <c r="DB49" s="387"/>
      <c r="DC49" s="387"/>
      <c r="DD49" s="387"/>
      <c r="DE49" s="389"/>
      <c r="DF49" s="390"/>
      <c r="DG49" s="387"/>
      <c r="DH49" s="387"/>
      <c r="DI49" s="387"/>
      <c r="DJ49" s="25"/>
      <c r="DK49" s="25"/>
    </row>
    <row r="50" spans="1:115">
      <c r="A50" s="722">
        <v>5</v>
      </c>
      <c r="B50" s="717"/>
      <c r="C50" s="717"/>
      <c r="D50" s="723"/>
      <c r="E50" s="722" t="str">
        <f t="shared" si="5"/>
        <v>Мостки (настил) деревянные</v>
      </c>
      <c r="F50" s="717"/>
      <c r="G50" s="717"/>
      <c r="H50" s="717"/>
      <c r="I50" s="717"/>
      <c r="J50" s="717"/>
      <c r="K50" s="717"/>
      <c r="L50" s="717"/>
      <c r="M50" s="717"/>
      <c r="N50" s="717"/>
      <c r="O50" s="717"/>
      <c r="P50" s="717"/>
      <c r="Q50" s="717"/>
      <c r="R50" s="717"/>
      <c r="S50" s="717"/>
      <c r="T50" s="717"/>
      <c r="U50" s="717"/>
      <c r="V50" s="717"/>
      <c r="W50" s="717"/>
      <c r="X50" s="717"/>
      <c r="Y50" s="717"/>
      <c r="Z50" s="717"/>
      <c r="AA50" s="773"/>
      <c r="AB50" s="726">
        <f t="shared" si="4"/>
        <v>2</v>
      </c>
      <c r="AC50" s="717"/>
      <c r="AD50" s="717"/>
      <c r="AE50" s="717"/>
      <c r="AF50" s="723"/>
      <c r="AG50" s="774">
        <f t="shared" si="6"/>
        <v>450</v>
      </c>
      <c r="AH50" s="717"/>
      <c r="AI50" s="717"/>
      <c r="AJ50" s="717"/>
      <c r="AK50" s="717"/>
      <c r="AL50" s="717"/>
      <c r="AM50" s="773"/>
      <c r="AN50" s="726">
        <f t="shared" si="7"/>
        <v>900</v>
      </c>
      <c r="AO50" s="717"/>
      <c r="AP50" s="717"/>
      <c r="AQ50" s="717"/>
      <c r="AR50" s="717"/>
      <c r="AS50" s="717"/>
      <c r="AT50" s="717"/>
      <c r="AU50" s="773"/>
      <c r="DA50" s="387"/>
      <c r="DB50" s="387"/>
      <c r="DC50" s="387"/>
      <c r="DD50" s="387"/>
      <c r="DE50" s="389"/>
      <c r="DF50" s="390"/>
      <c r="DG50" s="387"/>
      <c r="DH50" s="387"/>
      <c r="DI50" s="387"/>
      <c r="DJ50" s="25"/>
      <c r="DK50" s="25"/>
    </row>
    <row r="51" spans="1:115" ht="15.75" thickBot="1">
      <c r="A51" s="730">
        <v>6</v>
      </c>
      <c r="B51" s="731"/>
      <c r="C51" s="731"/>
      <c r="D51" s="732"/>
      <c r="E51" s="730" t="str">
        <f t="shared" si="5"/>
        <v>Ригель для настила</v>
      </c>
      <c r="F51" s="731"/>
      <c r="G51" s="731"/>
      <c r="H51" s="731"/>
      <c r="I51" s="731"/>
      <c r="J51" s="731"/>
      <c r="K51" s="731"/>
      <c r="L51" s="731"/>
      <c r="M51" s="731"/>
      <c r="N51" s="731"/>
      <c r="O51" s="731"/>
      <c r="P51" s="731"/>
      <c r="Q51" s="731"/>
      <c r="R51" s="731"/>
      <c r="S51" s="731"/>
      <c r="T51" s="731"/>
      <c r="U51" s="731"/>
      <c r="V51" s="731"/>
      <c r="W51" s="731"/>
      <c r="X51" s="731"/>
      <c r="Y51" s="731"/>
      <c r="Z51" s="731"/>
      <c r="AA51" s="775"/>
      <c r="AB51" s="736">
        <f t="shared" si="4"/>
        <v>8</v>
      </c>
      <c r="AC51" s="731"/>
      <c r="AD51" s="731"/>
      <c r="AE51" s="731"/>
      <c r="AF51" s="732"/>
      <c r="AG51" s="776">
        <f t="shared" si="6"/>
        <v>1120</v>
      </c>
      <c r="AH51" s="731"/>
      <c r="AI51" s="731"/>
      <c r="AJ51" s="731"/>
      <c r="AK51" s="731"/>
      <c r="AL51" s="731"/>
      <c r="AM51" s="775"/>
      <c r="AN51" s="736">
        <f t="shared" si="7"/>
        <v>8960</v>
      </c>
      <c r="AO51" s="731"/>
      <c r="AP51" s="731"/>
      <c r="AQ51" s="731"/>
      <c r="AR51" s="731"/>
      <c r="AS51" s="731"/>
      <c r="AT51" s="731"/>
      <c r="AU51" s="775"/>
      <c r="DA51" s="387"/>
      <c r="DB51" s="387"/>
      <c r="DC51" s="387"/>
      <c r="DD51" s="387"/>
      <c r="DE51" s="389"/>
      <c r="DF51" s="390"/>
      <c r="DG51" s="387"/>
      <c r="DH51" s="387"/>
      <c r="DI51" s="387"/>
      <c r="DJ51" s="25"/>
      <c r="DK51" s="25"/>
    </row>
    <row r="52" spans="1:115" ht="15.75" hidden="1" thickBot="1">
      <c r="A52" s="712">
        <v>7</v>
      </c>
      <c r="B52" s="712"/>
      <c r="C52" s="712"/>
      <c r="D52" s="712"/>
      <c r="E52" s="712">
        <f t="shared" si="5"/>
        <v>0</v>
      </c>
      <c r="F52" s="712"/>
      <c r="G52" s="712"/>
      <c r="H52" s="712"/>
      <c r="I52" s="712"/>
      <c r="J52" s="712"/>
      <c r="K52" s="712"/>
      <c r="L52" s="712"/>
      <c r="M52" s="712"/>
      <c r="N52" s="712"/>
      <c r="O52" s="712"/>
      <c r="P52" s="712"/>
      <c r="Q52" s="712"/>
      <c r="R52" s="712"/>
      <c r="S52" s="712"/>
      <c r="T52" s="712"/>
      <c r="U52" s="712"/>
      <c r="V52" s="712"/>
      <c r="W52" s="712"/>
      <c r="X52" s="712"/>
      <c r="Y52" s="712"/>
      <c r="Z52" s="712"/>
      <c r="AA52" s="712"/>
      <c r="AB52" s="714">
        <f t="shared" si="4"/>
        <v>0</v>
      </c>
      <c r="AC52" s="712"/>
      <c r="AD52" s="712"/>
      <c r="AE52" s="712"/>
      <c r="AF52" s="712"/>
      <c r="AG52" s="714">
        <f t="shared" si="6"/>
        <v>0</v>
      </c>
      <c r="AH52" s="712"/>
      <c r="AI52" s="712"/>
      <c r="AJ52" s="712"/>
      <c r="AK52" s="712"/>
      <c r="AL52" s="712"/>
      <c r="AM52" s="712"/>
      <c r="AN52" s="714">
        <f t="shared" si="7"/>
        <v>0</v>
      </c>
      <c r="AO52" s="712"/>
      <c r="AP52" s="712"/>
      <c r="AQ52" s="712"/>
      <c r="AR52" s="712"/>
      <c r="AS52" s="712"/>
      <c r="AT52" s="712"/>
      <c r="AU52" s="712"/>
      <c r="DA52" s="387"/>
      <c r="DB52" s="387"/>
      <c r="DC52" s="387"/>
      <c r="DD52" s="387"/>
      <c r="DE52" s="389"/>
      <c r="DF52" s="390"/>
      <c r="DG52" s="387"/>
      <c r="DH52" s="387"/>
      <c r="DI52" s="387"/>
      <c r="DJ52" s="25"/>
      <c r="DK52" s="25"/>
    </row>
    <row r="53" spans="1:115" ht="15.75" hidden="1" thickBot="1">
      <c r="A53" s="771">
        <v>8</v>
      </c>
      <c r="B53" s="771"/>
      <c r="C53" s="771"/>
      <c r="D53" s="771"/>
      <c r="E53" s="771">
        <f t="shared" si="5"/>
        <v>0</v>
      </c>
      <c r="F53" s="771"/>
      <c r="G53" s="771"/>
      <c r="H53" s="771"/>
      <c r="I53" s="771"/>
      <c r="J53" s="771"/>
      <c r="K53" s="771"/>
      <c r="L53" s="771"/>
      <c r="M53" s="771"/>
      <c r="N53" s="771"/>
      <c r="O53" s="771"/>
      <c r="P53" s="771"/>
      <c r="Q53" s="771"/>
      <c r="R53" s="771"/>
      <c r="S53" s="771"/>
      <c r="T53" s="771"/>
      <c r="U53" s="771"/>
      <c r="V53" s="771"/>
      <c r="W53" s="771"/>
      <c r="X53" s="771"/>
      <c r="Y53" s="771"/>
      <c r="Z53" s="771"/>
      <c r="AA53" s="771"/>
      <c r="AB53" s="772">
        <f t="shared" si="4"/>
        <v>0</v>
      </c>
      <c r="AC53" s="771"/>
      <c r="AD53" s="771"/>
      <c r="AE53" s="771"/>
      <c r="AF53" s="771"/>
      <c r="AG53" s="719">
        <f t="shared" si="6"/>
        <v>0</v>
      </c>
      <c r="AH53" s="717"/>
      <c r="AI53" s="717"/>
      <c r="AJ53" s="717"/>
      <c r="AK53" s="717"/>
      <c r="AL53" s="717"/>
      <c r="AM53" s="717"/>
      <c r="AN53" s="772">
        <f t="shared" si="7"/>
        <v>0</v>
      </c>
      <c r="AO53" s="771"/>
      <c r="AP53" s="771"/>
      <c r="AQ53" s="771"/>
      <c r="AR53" s="771"/>
      <c r="AS53" s="771"/>
      <c r="AT53" s="771"/>
      <c r="AU53" s="771"/>
      <c r="DA53" s="387"/>
      <c r="DB53" s="387"/>
      <c r="DC53" s="387"/>
      <c r="DD53" s="387"/>
      <c r="DE53" s="389"/>
      <c r="DF53" s="390"/>
      <c r="DG53" s="387"/>
      <c r="DH53" s="387"/>
      <c r="DI53" s="387"/>
      <c r="DJ53" s="25"/>
      <c r="DK53" s="25"/>
    </row>
    <row r="54" spans="1:115" ht="15.75" thickBot="1">
      <c r="A54" s="766"/>
      <c r="B54" s="766"/>
      <c r="C54" s="766"/>
      <c r="D54" s="766"/>
      <c r="E54" s="766"/>
      <c r="F54" s="766"/>
      <c r="G54" s="766"/>
      <c r="H54" s="766"/>
      <c r="I54" s="766"/>
      <c r="J54" s="766"/>
      <c r="K54" s="766"/>
      <c r="L54" s="766"/>
      <c r="M54" s="766"/>
      <c r="N54" s="766"/>
      <c r="O54" s="766"/>
      <c r="P54" s="766"/>
      <c r="Q54" s="766"/>
      <c r="R54" s="766"/>
      <c r="S54" s="766"/>
      <c r="T54" s="766"/>
      <c r="U54" s="766"/>
      <c r="V54" s="766"/>
      <c r="W54" s="766"/>
      <c r="X54" s="766"/>
      <c r="Y54" s="766"/>
      <c r="Z54" s="766"/>
      <c r="AA54" s="766"/>
      <c r="AB54" s="767"/>
      <c r="AC54" s="766"/>
      <c r="AD54" s="766"/>
      <c r="AE54" s="766"/>
      <c r="AF54" s="766"/>
      <c r="AG54" s="767"/>
      <c r="AH54" s="766"/>
      <c r="AI54" s="766"/>
      <c r="AJ54" s="766"/>
      <c r="AK54" s="766"/>
      <c r="AL54" s="766"/>
      <c r="AM54" s="766"/>
      <c r="AN54" s="768">
        <f>SUM(AN46:AU51)</f>
        <v>17770</v>
      </c>
      <c r="AO54" s="769"/>
      <c r="AP54" s="769"/>
      <c r="AQ54" s="769"/>
      <c r="AR54" s="769"/>
      <c r="AS54" s="769"/>
      <c r="AT54" s="769"/>
      <c r="AU54" s="770"/>
      <c r="DA54" s="387"/>
      <c r="DB54" s="389"/>
      <c r="DC54" s="387"/>
      <c r="DD54" s="387"/>
      <c r="DE54" s="389"/>
      <c r="DF54" s="387"/>
      <c r="DG54" s="387"/>
      <c r="DH54" s="387"/>
      <c r="DI54" s="387"/>
      <c r="DJ54" s="25"/>
      <c r="DK54" s="25"/>
    </row>
    <row r="55" spans="1:115">
      <c r="A55" s="766"/>
      <c r="B55" s="766"/>
      <c r="C55" s="766"/>
      <c r="D55" s="766"/>
      <c r="E55" s="766"/>
      <c r="F55" s="766"/>
      <c r="G55" s="766"/>
      <c r="H55" s="766"/>
      <c r="I55" s="766"/>
      <c r="J55" s="766"/>
      <c r="K55" s="766"/>
      <c r="L55" s="766"/>
      <c r="M55" s="766"/>
      <c r="N55" s="766"/>
      <c r="O55" s="766"/>
      <c r="P55" s="766"/>
      <c r="Q55" s="766"/>
      <c r="R55" s="766"/>
      <c r="S55" s="766"/>
      <c r="T55" s="766"/>
      <c r="U55" s="766"/>
      <c r="V55" s="766"/>
      <c r="W55" s="766"/>
      <c r="X55" s="766"/>
      <c r="Y55" s="766"/>
      <c r="Z55" s="766"/>
      <c r="AA55" s="766"/>
      <c r="AB55" s="767"/>
      <c r="AC55" s="766"/>
      <c r="AD55" s="766"/>
      <c r="AE55" s="766"/>
      <c r="AF55" s="766"/>
      <c r="AG55" s="767"/>
      <c r="AH55" s="766"/>
      <c r="AI55" s="766"/>
      <c r="AJ55" s="766"/>
      <c r="AK55" s="766"/>
      <c r="AL55" s="766"/>
      <c r="AM55" s="766"/>
      <c r="AN55" s="767"/>
      <c r="AO55" s="766"/>
      <c r="AP55" s="766"/>
      <c r="AQ55" s="766"/>
      <c r="AR55" s="766"/>
      <c r="AS55" s="766"/>
      <c r="AT55" s="766"/>
      <c r="AU55" s="766"/>
      <c r="DA55" s="387"/>
      <c r="DB55" s="387"/>
      <c r="DC55" s="387"/>
      <c r="DD55" s="387"/>
      <c r="DE55" s="387"/>
      <c r="DF55" s="387"/>
      <c r="DG55" s="387"/>
      <c r="DH55" s="387"/>
      <c r="DI55" s="387"/>
      <c r="DJ55" s="25"/>
      <c r="DK55" s="25"/>
    </row>
    <row r="56" spans="1:115">
      <c r="A56" s="753" t="s">
        <v>616</v>
      </c>
      <c r="B56" s="754"/>
      <c r="C56" s="754"/>
      <c r="D56" s="754"/>
      <c r="E56" s="754"/>
      <c r="F56" s="754"/>
      <c r="G56" s="754"/>
      <c r="H56" s="754"/>
      <c r="I56" s="754"/>
      <c r="J56" s="754"/>
      <c r="K56" s="754"/>
      <c r="L56" s="754"/>
      <c r="M56" s="754"/>
      <c r="N56" s="754"/>
      <c r="O56" s="754"/>
      <c r="P56" s="754"/>
      <c r="Q56" s="754"/>
      <c r="R56" s="754"/>
      <c r="S56" s="754"/>
      <c r="T56" s="754"/>
      <c r="U56" s="754"/>
      <c r="V56" s="754"/>
      <c r="W56" s="754"/>
      <c r="X56" s="754"/>
      <c r="Y56" s="754"/>
      <c r="Z56" s="754"/>
      <c r="AA56" s="754"/>
      <c r="AB56" s="754"/>
      <c r="AC56" s="754"/>
      <c r="AD56" s="754"/>
      <c r="AE56" s="754"/>
      <c r="AF56" s="754"/>
      <c r="AG56" s="754"/>
      <c r="AH56" s="754"/>
      <c r="AI56" s="754"/>
      <c r="AJ56" s="754"/>
      <c r="AK56" s="754"/>
      <c r="AL56" s="754"/>
      <c r="AM56" s="754"/>
      <c r="AN56" s="754"/>
      <c r="AO56" s="754"/>
      <c r="AP56" s="754"/>
      <c r="AQ56" s="754"/>
      <c r="AR56" s="754"/>
      <c r="AS56" s="754"/>
      <c r="AT56" s="754"/>
      <c r="AU56" s="754"/>
    </row>
    <row r="57" spans="1:115" ht="7.5" customHeight="1" thickBot="1">
      <c r="A57" s="404"/>
      <c r="B57" s="405"/>
      <c r="C57" s="405"/>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405"/>
      <c r="AF57" s="405"/>
      <c r="AG57" s="405"/>
      <c r="AH57" s="405"/>
      <c r="AI57" s="405"/>
      <c r="AJ57" s="405"/>
      <c r="AK57" s="405"/>
      <c r="AL57" s="405"/>
      <c r="AM57" s="405"/>
      <c r="AN57" s="405"/>
      <c r="AO57" s="405"/>
      <c r="AP57" s="405"/>
      <c r="AQ57" s="405"/>
      <c r="AR57" s="405"/>
      <c r="AS57" s="405"/>
      <c r="AT57" s="405"/>
      <c r="AU57" s="405"/>
    </row>
    <row r="58" spans="1:115" ht="39" customHeight="1" thickBot="1">
      <c r="A58" s="755" t="s">
        <v>121</v>
      </c>
      <c r="B58" s="756"/>
      <c r="C58" s="756"/>
      <c r="D58" s="757"/>
      <c r="E58" s="758" t="s">
        <v>31</v>
      </c>
      <c r="F58" s="759"/>
      <c r="G58" s="759"/>
      <c r="H58" s="759"/>
      <c r="I58" s="759"/>
      <c r="J58" s="759"/>
      <c r="K58" s="759"/>
      <c r="L58" s="759"/>
      <c r="M58" s="759"/>
      <c r="N58" s="759"/>
      <c r="O58" s="759"/>
      <c r="P58" s="759"/>
      <c r="Q58" s="759"/>
      <c r="R58" s="759"/>
      <c r="S58" s="759"/>
      <c r="T58" s="759"/>
      <c r="U58" s="759"/>
      <c r="V58" s="759"/>
      <c r="W58" s="759"/>
      <c r="X58" s="759"/>
      <c r="Y58" s="759"/>
      <c r="Z58" s="759"/>
      <c r="AA58" s="760"/>
      <c r="AB58" s="761" t="s">
        <v>471</v>
      </c>
      <c r="AC58" s="756"/>
      <c r="AD58" s="756"/>
      <c r="AE58" s="756"/>
      <c r="AF58" s="757"/>
      <c r="AG58" s="762" t="s">
        <v>617</v>
      </c>
      <c r="AH58" s="763"/>
      <c r="AI58" s="763"/>
      <c r="AJ58" s="763"/>
      <c r="AK58" s="763"/>
      <c r="AL58" s="763"/>
      <c r="AM58" s="764"/>
      <c r="AN58" s="761" t="s">
        <v>548</v>
      </c>
      <c r="AO58" s="756"/>
      <c r="AP58" s="756"/>
      <c r="AQ58" s="756"/>
      <c r="AR58" s="756"/>
      <c r="AS58" s="756"/>
      <c r="AT58" s="756"/>
      <c r="AU58" s="765"/>
    </row>
    <row r="59" spans="1:115">
      <c r="A59" s="742">
        <v>1</v>
      </c>
      <c r="B59" s="743"/>
      <c r="C59" s="743"/>
      <c r="D59" s="744"/>
      <c r="E59" s="745" t="str">
        <f>E20</f>
        <v>Рама проходная ЛСПР-200</v>
      </c>
      <c r="F59" s="746"/>
      <c r="G59" s="746"/>
      <c r="H59" s="746"/>
      <c r="I59" s="746"/>
      <c r="J59" s="746"/>
      <c r="K59" s="746"/>
      <c r="L59" s="746"/>
      <c r="M59" s="746"/>
      <c r="N59" s="746"/>
      <c r="O59" s="746"/>
      <c r="P59" s="746"/>
      <c r="Q59" s="746"/>
      <c r="R59" s="746"/>
      <c r="S59" s="746"/>
      <c r="T59" s="746"/>
      <c r="U59" s="746"/>
      <c r="V59" s="746"/>
      <c r="W59" s="746"/>
      <c r="X59" s="746"/>
      <c r="Y59" s="746"/>
      <c r="Z59" s="746"/>
      <c r="AA59" s="747"/>
      <c r="AB59" s="748">
        <v>0</v>
      </c>
      <c r="AC59" s="743"/>
      <c r="AD59" s="743"/>
      <c r="AE59" s="743"/>
      <c r="AF59" s="744"/>
      <c r="AG59" s="749">
        <f>'[1]Договор аренды лесов Юр'!AI222</f>
        <v>300</v>
      </c>
      <c r="AH59" s="750"/>
      <c r="AI59" s="750"/>
      <c r="AJ59" s="750"/>
      <c r="AK59" s="750"/>
      <c r="AL59" s="750"/>
      <c r="AM59" s="751"/>
      <c r="AN59" s="752">
        <f>AB59*AG59</f>
        <v>0</v>
      </c>
      <c r="AO59" s="750"/>
      <c r="AP59" s="750"/>
      <c r="AQ59" s="750"/>
      <c r="AR59" s="750"/>
      <c r="AS59" s="750"/>
      <c r="AT59" s="750"/>
      <c r="AU59" s="751"/>
    </row>
    <row r="60" spans="1:115">
      <c r="A60" s="722">
        <v>2</v>
      </c>
      <c r="B60" s="717"/>
      <c r="C60" s="717"/>
      <c r="D60" s="723"/>
      <c r="E60" s="724" t="str">
        <f t="shared" ref="E60:E66" si="8">E21</f>
        <v xml:space="preserve">Рама с лестницей ЛСПР-200 </v>
      </c>
      <c r="F60" s="718"/>
      <c r="G60" s="718"/>
      <c r="H60" s="718"/>
      <c r="I60" s="718"/>
      <c r="J60" s="718"/>
      <c r="K60" s="718"/>
      <c r="L60" s="718"/>
      <c r="M60" s="718"/>
      <c r="N60" s="718"/>
      <c r="O60" s="718"/>
      <c r="P60" s="718"/>
      <c r="Q60" s="718"/>
      <c r="R60" s="718"/>
      <c r="S60" s="718"/>
      <c r="T60" s="718"/>
      <c r="U60" s="718"/>
      <c r="V60" s="718"/>
      <c r="W60" s="718"/>
      <c r="X60" s="718"/>
      <c r="Y60" s="718"/>
      <c r="Z60" s="718"/>
      <c r="AA60" s="725"/>
      <c r="AB60" s="726">
        <v>0</v>
      </c>
      <c r="AC60" s="717"/>
      <c r="AD60" s="717"/>
      <c r="AE60" s="717"/>
      <c r="AF60" s="723"/>
      <c r="AG60" s="727">
        <f>'[1]Договор аренды лесов Юр'!AI223</f>
        <v>350</v>
      </c>
      <c r="AH60" s="721"/>
      <c r="AI60" s="721"/>
      <c r="AJ60" s="721"/>
      <c r="AK60" s="721"/>
      <c r="AL60" s="721"/>
      <c r="AM60" s="728"/>
      <c r="AN60" s="729">
        <f t="shared" ref="AN60:AN66" si="9">AB60*AG60</f>
        <v>0</v>
      </c>
      <c r="AO60" s="721"/>
      <c r="AP60" s="721"/>
      <c r="AQ60" s="721"/>
      <c r="AR60" s="721"/>
      <c r="AS60" s="721"/>
      <c r="AT60" s="721"/>
      <c r="AU60" s="728"/>
    </row>
    <row r="61" spans="1:115">
      <c r="A61" s="722">
        <v>3</v>
      </c>
      <c r="B61" s="717"/>
      <c r="C61" s="717"/>
      <c r="D61" s="723"/>
      <c r="E61" s="724" t="str">
        <f t="shared" si="8"/>
        <v>Диагональная связь (3,3 м) ЛСПР-200</v>
      </c>
      <c r="F61" s="718"/>
      <c r="G61" s="718"/>
      <c r="H61" s="718"/>
      <c r="I61" s="718"/>
      <c r="J61" s="718"/>
      <c r="K61" s="718"/>
      <c r="L61" s="718"/>
      <c r="M61" s="718"/>
      <c r="N61" s="718"/>
      <c r="O61" s="718"/>
      <c r="P61" s="718"/>
      <c r="Q61" s="718"/>
      <c r="R61" s="718"/>
      <c r="S61" s="718"/>
      <c r="T61" s="718"/>
      <c r="U61" s="718"/>
      <c r="V61" s="718"/>
      <c r="W61" s="718"/>
      <c r="X61" s="718"/>
      <c r="Y61" s="718"/>
      <c r="Z61" s="718"/>
      <c r="AA61" s="725"/>
      <c r="AB61" s="741">
        <v>8</v>
      </c>
      <c r="AC61" s="717"/>
      <c r="AD61" s="717"/>
      <c r="AE61" s="717"/>
      <c r="AF61" s="723"/>
      <c r="AG61" s="727">
        <f>'[1]Договор аренды лесов Юр'!AI224</f>
        <v>100</v>
      </c>
      <c r="AH61" s="721"/>
      <c r="AI61" s="721"/>
      <c r="AJ61" s="721"/>
      <c r="AK61" s="721"/>
      <c r="AL61" s="721"/>
      <c r="AM61" s="728"/>
      <c r="AN61" s="729">
        <f t="shared" si="9"/>
        <v>800</v>
      </c>
      <c r="AO61" s="721"/>
      <c r="AP61" s="721"/>
      <c r="AQ61" s="721"/>
      <c r="AR61" s="721"/>
      <c r="AS61" s="721"/>
      <c r="AT61" s="721"/>
      <c r="AU61" s="728"/>
    </row>
    <row r="62" spans="1:115">
      <c r="A62" s="722">
        <v>4</v>
      </c>
      <c r="B62" s="717"/>
      <c r="C62" s="717"/>
      <c r="D62" s="723"/>
      <c r="E62" s="724" t="str">
        <f t="shared" si="8"/>
        <v>Горизонтальная связь (3м) ЛСПР-200</v>
      </c>
      <c r="F62" s="718"/>
      <c r="G62" s="718"/>
      <c r="H62" s="718"/>
      <c r="I62" s="718"/>
      <c r="J62" s="718"/>
      <c r="K62" s="718"/>
      <c r="L62" s="718"/>
      <c r="M62" s="718"/>
      <c r="N62" s="718"/>
      <c r="O62" s="718"/>
      <c r="P62" s="718"/>
      <c r="Q62" s="718"/>
      <c r="R62" s="718"/>
      <c r="S62" s="718"/>
      <c r="T62" s="718"/>
      <c r="U62" s="718"/>
      <c r="V62" s="718"/>
      <c r="W62" s="718"/>
      <c r="X62" s="718"/>
      <c r="Y62" s="718"/>
      <c r="Z62" s="718"/>
      <c r="AA62" s="725"/>
      <c r="AB62" s="726">
        <v>8</v>
      </c>
      <c r="AC62" s="717"/>
      <c r="AD62" s="717"/>
      <c r="AE62" s="717"/>
      <c r="AF62" s="723"/>
      <c r="AG62" s="727">
        <f>'[1]Договор аренды лесов Юр'!AI225</f>
        <v>50</v>
      </c>
      <c r="AH62" s="721"/>
      <c r="AI62" s="721"/>
      <c r="AJ62" s="721"/>
      <c r="AK62" s="721"/>
      <c r="AL62" s="721"/>
      <c r="AM62" s="728"/>
      <c r="AN62" s="729">
        <f t="shared" si="9"/>
        <v>400</v>
      </c>
      <c r="AO62" s="721"/>
      <c r="AP62" s="721"/>
      <c r="AQ62" s="721"/>
      <c r="AR62" s="721"/>
      <c r="AS62" s="721"/>
      <c r="AT62" s="721"/>
      <c r="AU62" s="728"/>
      <c r="BN62" t="s">
        <v>618</v>
      </c>
      <c r="BO62" s="406">
        <f>AN54</f>
        <v>17770</v>
      </c>
    </row>
    <row r="63" spans="1:115">
      <c r="A63" s="722">
        <v>5</v>
      </c>
      <c r="B63" s="717"/>
      <c r="C63" s="717"/>
      <c r="D63" s="723"/>
      <c r="E63" s="724" t="str">
        <f t="shared" si="8"/>
        <v>Мостки (настил) деревянные</v>
      </c>
      <c r="F63" s="718"/>
      <c r="G63" s="718"/>
      <c r="H63" s="718"/>
      <c r="I63" s="718"/>
      <c r="J63" s="718"/>
      <c r="K63" s="718"/>
      <c r="L63" s="718"/>
      <c r="M63" s="718"/>
      <c r="N63" s="718"/>
      <c r="O63" s="718"/>
      <c r="P63" s="718"/>
      <c r="Q63" s="718"/>
      <c r="R63" s="718"/>
      <c r="S63" s="718"/>
      <c r="T63" s="718"/>
      <c r="U63" s="718"/>
      <c r="V63" s="718"/>
      <c r="W63" s="718"/>
      <c r="X63" s="718"/>
      <c r="Y63" s="718"/>
      <c r="Z63" s="718"/>
      <c r="AA63" s="725"/>
      <c r="AB63" s="726">
        <v>0</v>
      </c>
      <c r="AC63" s="717"/>
      <c r="AD63" s="717"/>
      <c r="AE63" s="717"/>
      <c r="AF63" s="723"/>
      <c r="AG63" s="727">
        <f>'[1]Договор аренды лесов Юр'!AI226</f>
        <v>100</v>
      </c>
      <c r="AH63" s="721"/>
      <c r="AI63" s="721"/>
      <c r="AJ63" s="721"/>
      <c r="AK63" s="721"/>
      <c r="AL63" s="721"/>
      <c r="AM63" s="728"/>
      <c r="AN63" s="729">
        <f t="shared" si="9"/>
        <v>0</v>
      </c>
      <c r="AO63" s="721"/>
      <c r="AP63" s="721"/>
      <c r="AQ63" s="721"/>
      <c r="AR63" s="721"/>
      <c r="AS63" s="721"/>
      <c r="AT63" s="721"/>
      <c r="AU63" s="728"/>
      <c r="BN63" t="s">
        <v>619</v>
      </c>
      <c r="BO63" s="406">
        <f>AN67</f>
        <v>1200</v>
      </c>
    </row>
    <row r="64" spans="1:115" ht="15.75" thickBot="1">
      <c r="A64" s="730">
        <v>6</v>
      </c>
      <c r="B64" s="731"/>
      <c r="C64" s="731"/>
      <c r="D64" s="732"/>
      <c r="E64" s="733" t="str">
        <f t="shared" si="8"/>
        <v>Ригель для настила</v>
      </c>
      <c r="F64" s="734"/>
      <c r="G64" s="734"/>
      <c r="H64" s="734"/>
      <c r="I64" s="734"/>
      <c r="J64" s="734"/>
      <c r="K64" s="734"/>
      <c r="L64" s="734"/>
      <c r="M64" s="734"/>
      <c r="N64" s="734"/>
      <c r="O64" s="734"/>
      <c r="P64" s="734"/>
      <c r="Q64" s="734"/>
      <c r="R64" s="734"/>
      <c r="S64" s="734"/>
      <c r="T64" s="734"/>
      <c r="U64" s="734"/>
      <c r="V64" s="734"/>
      <c r="W64" s="734"/>
      <c r="X64" s="734"/>
      <c r="Y64" s="734"/>
      <c r="Z64" s="734"/>
      <c r="AA64" s="735"/>
      <c r="AB64" s="736">
        <v>0</v>
      </c>
      <c r="AC64" s="731"/>
      <c r="AD64" s="731"/>
      <c r="AE64" s="731"/>
      <c r="AF64" s="732"/>
      <c r="AG64" s="737">
        <f>'[1]Договор аренды лесов Юр'!AI227</f>
        <v>350</v>
      </c>
      <c r="AH64" s="738"/>
      <c r="AI64" s="738"/>
      <c r="AJ64" s="738"/>
      <c r="AK64" s="738"/>
      <c r="AL64" s="738"/>
      <c r="AM64" s="739"/>
      <c r="AN64" s="740">
        <f t="shared" si="9"/>
        <v>0</v>
      </c>
      <c r="AO64" s="738"/>
      <c r="AP64" s="738"/>
      <c r="AQ64" s="738"/>
      <c r="AR64" s="738"/>
      <c r="AS64" s="738"/>
      <c r="AT64" s="738"/>
      <c r="AU64" s="739"/>
      <c r="BN64" t="s">
        <v>620</v>
      </c>
      <c r="BO64" s="407">
        <v>0</v>
      </c>
    </row>
    <row r="65" spans="1:67" hidden="1">
      <c r="A65" s="712">
        <v>7</v>
      </c>
      <c r="B65" s="712"/>
      <c r="C65" s="712"/>
      <c r="D65" s="712"/>
      <c r="E65" s="713">
        <f t="shared" si="8"/>
        <v>0</v>
      </c>
      <c r="F65" s="713"/>
      <c r="G65" s="713"/>
      <c r="H65" s="713"/>
      <c r="I65" s="713"/>
      <c r="J65" s="713"/>
      <c r="K65" s="713"/>
      <c r="L65" s="713"/>
      <c r="M65" s="713"/>
      <c r="N65" s="713"/>
      <c r="O65" s="713"/>
      <c r="P65" s="713"/>
      <c r="Q65" s="713"/>
      <c r="R65" s="713"/>
      <c r="S65" s="713"/>
      <c r="T65" s="713"/>
      <c r="U65" s="713"/>
      <c r="V65" s="713"/>
      <c r="W65" s="713"/>
      <c r="X65" s="713"/>
      <c r="Y65" s="713"/>
      <c r="Z65" s="713"/>
      <c r="AA65" s="713"/>
      <c r="AB65" s="714">
        <v>0</v>
      </c>
      <c r="AC65" s="712"/>
      <c r="AD65" s="712"/>
      <c r="AE65" s="712"/>
      <c r="AF65" s="712"/>
      <c r="AG65" s="715">
        <f>'[1]Договор аренды лесов Юр'!AI228</f>
        <v>100</v>
      </c>
      <c r="AH65" s="716"/>
      <c r="AI65" s="716"/>
      <c r="AJ65" s="716"/>
      <c r="AK65" s="716"/>
      <c r="AL65" s="716"/>
      <c r="AM65" s="716"/>
      <c r="AN65" s="715">
        <f t="shared" si="9"/>
        <v>0</v>
      </c>
      <c r="AO65" s="716"/>
      <c r="AP65" s="716"/>
      <c r="AQ65" s="716"/>
      <c r="AR65" s="716"/>
      <c r="AS65" s="716"/>
      <c r="AT65" s="716"/>
      <c r="AU65" s="716"/>
    </row>
    <row r="66" spans="1:67" hidden="1">
      <c r="A66" s="717">
        <v>8</v>
      </c>
      <c r="B66" s="717"/>
      <c r="C66" s="717"/>
      <c r="D66" s="717"/>
      <c r="E66" s="718">
        <f t="shared" si="8"/>
        <v>0</v>
      </c>
      <c r="F66" s="718"/>
      <c r="G66" s="718"/>
      <c r="H66" s="718"/>
      <c r="I66" s="718"/>
      <c r="J66" s="718"/>
      <c r="K66" s="718"/>
      <c r="L66" s="718"/>
      <c r="M66" s="718"/>
      <c r="N66" s="718"/>
      <c r="O66" s="718"/>
      <c r="P66" s="718"/>
      <c r="Q66" s="718"/>
      <c r="R66" s="718"/>
      <c r="S66" s="718"/>
      <c r="T66" s="718"/>
      <c r="U66" s="718"/>
      <c r="V66" s="718"/>
      <c r="W66" s="718"/>
      <c r="X66" s="718"/>
      <c r="Y66" s="718"/>
      <c r="Z66" s="718"/>
      <c r="AA66" s="718"/>
      <c r="AB66" s="719">
        <v>0</v>
      </c>
      <c r="AC66" s="717"/>
      <c r="AD66" s="717"/>
      <c r="AE66" s="717"/>
      <c r="AF66" s="717"/>
      <c r="AG66" s="720">
        <f>'[1]Договор аренды лесов Юр'!AI229</f>
        <v>50</v>
      </c>
      <c r="AH66" s="721"/>
      <c r="AI66" s="721"/>
      <c r="AJ66" s="721"/>
      <c r="AK66" s="721"/>
      <c r="AL66" s="721"/>
      <c r="AM66" s="721"/>
      <c r="AN66" s="720">
        <f t="shared" si="9"/>
        <v>0</v>
      </c>
      <c r="AO66" s="721"/>
      <c r="AP66" s="721"/>
      <c r="AQ66" s="721"/>
      <c r="AR66" s="721"/>
      <c r="AS66" s="721"/>
      <c r="AT66" s="721"/>
      <c r="AU66" s="721"/>
    </row>
    <row r="67" spans="1:67">
      <c r="A67" s="405"/>
      <c r="B67" s="405"/>
      <c r="C67" s="405"/>
      <c r="D67" s="405"/>
      <c r="E67" s="404"/>
      <c r="F67" s="404"/>
      <c r="G67" s="404"/>
      <c r="H67" s="404"/>
      <c r="I67" s="404"/>
      <c r="J67" s="404"/>
      <c r="K67" s="404"/>
      <c r="L67" s="404"/>
      <c r="M67" s="404"/>
      <c r="N67" s="404"/>
      <c r="O67" s="404"/>
      <c r="P67" s="404"/>
      <c r="Q67" s="404"/>
      <c r="R67" s="404"/>
      <c r="S67" s="404"/>
      <c r="T67" s="404"/>
      <c r="U67" s="404"/>
      <c r="V67" s="404"/>
      <c r="W67" s="404"/>
      <c r="X67" s="404"/>
      <c r="Y67" s="404"/>
      <c r="Z67" s="404"/>
      <c r="AA67" s="404"/>
      <c r="AB67" s="408"/>
      <c r="AC67" s="405"/>
      <c r="AD67" s="405"/>
      <c r="AE67" s="405"/>
      <c r="AF67" s="405"/>
      <c r="AG67" s="409"/>
      <c r="AH67" s="410"/>
      <c r="AI67" s="410"/>
      <c r="AJ67" s="410"/>
      <c r="AK67" s="410"/>
      <c r="AL67" s="410"/>
      <c r="AM67" s="410"/>
      <c r="AN67" s="708">
        <f>SUM(AN59:AU66)</f>
        <v>1200</v>
      </c>
      <c r="AO67" s="709"/>
      <c r="AP67" s="709"/>
      <c r="AQ67" s="709"/>
      <c r="AR67" s="709"/>
      <c r="AS67" s="709"/>
      <c r="AT67" s="709"/>
      <c r="AU67" s="709"/>
    </row>
    <row r="68" spans="1:67">
      <c r="A68" s="405"/>
      <c r="B68" s="405"/>
      <c r="C68" s="405"/>
      <c r="D68" s="405"/>
      <c r="E68" s="404"/>
      <c r="F68" s="405"/>
      <c r="G68" s="405"/>
      <c r="H68" s="405"/>
      <c r="I68" s="405"/>
      <c r="J68" s="405"/>
      <c r="K68" s="405"/>
      <c r="L68" s="405"/>
      <c r="M68" s="405"/>
      <c r="N68" s="405"/>
      <c r="O68" s="405"/>
      <c r="P68" s="405"/>
      <c r="Q68" s="405"/>
      <c r="R68" s="405"/>
      <c r="S68" s="405"/>
      <c r="T68" s="405"/>
      <c r="U68" s="405"/>
      <c r="V68" s="405"/>
      <c r="W68" s="405"/>
      <c r="X68" s="405"/>
      <c r="Y68" s="405"/>
      <c r="Z68" s="405"/>
      <c r="AA68" s="405"/>
      <c r="AB68" s="408"/>
      <c r="AC68" s="405"/>
      <c r="AD68" s="405"/>
      <c r="AE68" s="405"/>
      <c r="AF68" s="405"/>
      <c r="AG68" s="409"/>
      <c r="AH68" s="410"/>
      <c r="AI68" s="410"/>
      <c r="AJ68" s="410"/>
      <c r="AK68" s="410"/>
      <c r="AL68" s="410"/>
      <c r="AM68" s="410"/>
      <c r="AN68" s="409"/>
      <c r="AO68" s="410"/>
      <c r="AP68" s="410"/>
      <c r="AQ68" s="410"/>
      <c r="AR68" s="410"/>
      <c r="AS68" s="410"/>
      <c r="AT68" s="410"/>
      <c r="AU68" s="410"/>
      <c r="BN68" t="s">
        <v>184</v>
      </c>
      <c r="BO68" s="406">
        <f>BO62+BO63+BO64</f>
        <v>18970</v>
      </c>
    </row>
    <row r="69" spans="1:67" ht="63" customHeight="1">
      <c r="A69" s="710" t="str">
        <f>CONCATENATE("Просим оплатить стоимость не возвращенного оборудования в полном объеме ",BO62," (",Доп!B5,"), а также стоимость ремонта оборудования согласно актам приема-передачи (возврата) в размере ",BO63," (",Доп!B6,")"," и ",BO64," (",Доп!B7,") стоимость очистки оборудования.")</f>
        <v>Просим оплатить стоимость не возвращенного оборудования в полном объеме 17770 (Семнадцать тысяч семьсот семьдесят рублей 00 копеек), а также стоимость ремонта оборудования согласно актам приема-передачи (возврата) в размере 1200 (Одна тысяча двести рублей 00 копеек) и 0 (Ноль рублей 00 копеек) стоимость очистки оборудования.</v>
      </c>
      <c r="B69" s="710"/>
      <c r="C69" s="710"/>
      <c r="D69" s="710"/>
      <c r="E69" s="710"/>
      <c r="F69" s="710"/>
      <c r="G69" s="710"/>
      <c r="H69" s="710"/>
      <c r="I69" s="710"/>
      <c r="J69" s="710"/>
      <c r="K69" s="710"/>
      <c r="L69" s="710"/>
      <c r="M69" s="710"/>
      <c r="N69" s="710"/>
      <c r="O69" s="710"/>
      <c r="P69" s="710"/>
      <c r="Q69" s="710"/>
      <c r="R69" s="710"/>
      <c r="S69" s="710"/>
      <c r="T69" s="710"/>
      <c r="U69" s="710"/>
      <c r="V69" s="710"/>
      <c r="W69" s="710"/>
      <c r="X69" s="710"/>
      <c r="Y69" s="710"/>
      <c r="Z69" s="710"/>
      <c r="AA69" s="710"/>
      <c r="AB69" s="710"/>
      <c r="AC69" s="710"/>
      <c r="AD69" s="710"/>
      <c r="AE69" s="710"/>
      <c r="AF69" s="710"/>
      <c r="AG69" s="710"/>
      <c r="AH69" s="710"/>
      <c r="AI69" s="710"/>
      <c r="AJ69" s="710"/>
      <c r="AK69" s="710"/>
      <c r="AL69" s="710"/>
      <c r="AM69" s="710"/>
      <c r="AN69" s="710"/>
      <c r="AO69" s="710"/>
      <c r="AP69" s="710"/>
      <c r="AQ69" s="710"/>
      <c r="AR69" s="710"/>
      <c r="AS69" s="710"/>
      <c r="AT69" s="710"/>
      <c r="AU69" s="710"/>
      <c r="BE69" s="411"/>
    </row>
    <row r="70" spans="1:67" ht="32.25" customHeight="1">
      <c r="A70" s="711" t="str">
        <f>CONCATENATE("Итого сумма задолженности составит ",BO68," (",Доп!B8,")",)</f>
        <v>Итого сумма задолженности составит 18970 (Восемнадцать тысяч девятьсот семьдесят рублей 00 копеек)</v>
      </c>
      <c r="B70" s="711"/>
      <c r="C70" s="711"/>
      <c r="D70" s="711"/>
      <c r="E70" s="711"/>
      <c r="F70" s="711"/>
      <c r="G70" s="711"/>
      <c r="H70" s="711"/>
      <c r="I70" s="711"/>
      <c r="J70" s="711"/>
      <c r="K70" s="711"/>
      <c r="L70" s="711"/>
      <c r="M70" s="711"/>
      <c r="N70" s="711"/>
      <c r="O70" s="711"/>
      <c r="P70" s="711"/>
      <c r="Q70" s="711"/>
      <c r="R70" s="711"/>
      <c r="S70" s="711"/>
      <c r="T70" s="711"/>
      <c r="U70" s="711"/>
      <c r="V70" s="711"/>
      <c r="W70" s="711"/>
      <c r="X70" s="711"/>
      <c r="Y70" s="711"/>
      <c r="Z70" s="711"/>
      <c r="AA70" s="711"/>
      <c r="AB70" s="711"/>
      <c r="AC70" s="711"/>
      <c r="AD70" s="711"/>
      <c r="AE70" s="711"/>
      <c r="AF70" s="711"/>
      <c r="AG70" s="711"/>
      <c r="AH70" s="711"/>
      <c r="AI70" s="711"/>
      <c r="AJ70" s="711"/>
      <c r="AK70" s="711"/>
      <c r="AL70" s="711"/>
      <c r="AM70" s="711"/>
      <c r="AN70" s="711"/>
      <c r="AO70" s="711"/>
      <c r="AP70" s="711"/>
      <c r="AQ70" s="711"/>
      <c r="AR70" s="711"/>
      <c r="AS70" s="711"/>
      <c r="AT70" s="711"/>
      <c r="AU70" s="711"/>
      <c r="BE70" s="411"/>
    </row>
    <row r="71" spans="1:67" ht="54" customHeight="1">
      <c r="A71" s="710" t="str">
        <f ca="1">CONCATENATE("При не оплате данного акта в соответствии с пунктом 4.5 Договора аренды оборудования №",ДляДоговора!B2," от ",ДляДоговора!B3,", мы будем вынуждены в одностороннем порядке произвести вычет из обеспечительного взноса.")</f>
        <v>При не оплате данного акта в соответствии с пунктом 4.5 Договора аренды оборудования №30/03-А(23) от 30 марта 2023г., мы будем вынуждены в одностороннем порядке произвести вычет из обеспечительного взноса.</v>
      </c>
      <c r="B71" s="710"/>
      <c r="C71" s="710"/>
      <c r="D71" s="710"/>
      <c r="E71" s="710"/>
      <c r="F71" s="710"/>
      <c r="G71" s="710"/>
      <c r="H71" s="710"/>
      <c r="I71" s="710"/>
      <c r="J71" s="710"/>
      <c r="K71" s="710"/>
      <c r="L71" s="710"/>
      <c r="M71" s="710"/>
      <c r="N71" s="710"/>
      <c r="O71" s="710"/>
      <c r="P71" s="710"/>
      <c r="Q71" s="710"/>
      <c r="R71" s="710"/>
      <c r="S71" s="710"/>
      <c r="T71" s="710"/>
      <c r="U71" s="710"/>
      <c r="V71" s="710"/>
      <c r="W71" s="710"/>
      <c r="X71" s="710"/>
      <c r="Y71" s="710"/>
      <c r="Z71" s="710"/>
      <c r="AA71" s="710"/>
      <c r="AB71" s="710"/>
      <c r="AC71" s="710"/>
      <c r="AD71" s="710"/>
      <c r="AE71" s="710"/>
      <c r="AF71" s="710"/>
      <c r="AG71" s="710"/>
      <c r="AH71" s="710"/>
      <c r="AI71" s="710"/>
      <c r="AJ71" s="710"/>
      <c r="AK71" s="710"/>
      <c r="AL71" s="710"/>
      <c r="AM71" s="710"/>
      <c r="AN71" s="710"/>
      <c r="AO71" s="710"/>
      <c r="AP71" s="710"/>
      <c r="AQ71" s="710"/>
      <c r="AR71" s="710"/>
      <c r="AS71" s="710"/>
      <c r="AT71" s="710"/>
      <c r="AU71" s="710"/>
      <c r="BE71" s="412"/>
      <c r="BG71" s="291"/>
    </row>
    <row r="72" spans="1:67">
      <c r="BE72" s="412"/>
    </row>
    <row r="73" spans="1:67">
      <c r="BE73" s="413"/>
    </row>
    <row r="75" spans="1:67">
      <c r="A75" t="s">
        <v>626</v>
      </c>
      <c r="AG75" t="s">
        <v>627</v>
      </c>
    </row>
    <row r="77" spans="1:67">
      <c r="AB77" t="s">
        <v>118</v>
      </c>
    </row>
  </sheetData>
  <mergeCells count="212">
    <mergeCell ref="CN3:CO3"/>
    <mergeCell ref="BN8:BO8"/>
    <mergeCell ref="A13:AU13"/>
    <mergeCell ref="A15:AU15"/>
    <mergeCell ref="A16:AU16"/>
    <mergeCell ref="A17:AU17"/>
    <mergeCell ref="A19:D19"/>
    <mergeCell ref="E19:AA19"/>
    <mergeCell ref="AB19:AF19"/>
    <mergeCell ref="AG19:AM19"/>
    <mergeCell ref="AN19:AU19"/>
    <mergeCell ref="A20:D20"/>
    <mergeCell ref="E20:AA20"/>
    <mergeCell ref="AB20:AF20"/>
    <mergeCell ref="AG20:AM20"/>
    <mergeCell ref="AN20:AU20"/>
    <mergeCell ref="A21:D21"/>
    <mergeCell ref="E21:AA21"/>
    <mergeCell ref="AB21:AF21"/>
    <mergeCell ref="AG21:AM21"/>
    <mergeCell ref="AN21:AU21"/>
    <mergeCell ref="A22:D22"/>
    <mergeCell ref="E22:AA22"/>
    <mergeCell ref="AB22:AF22"/>
    <mergeCell ref="AG22:AM22"/>
    <mergeCell ref="AN22:AU22"/>
    <mergeCell ref="A23:D23"/>
    <mergeCell ref="E23:AA23"/>
    <mergeCell ref="AB23:AF23"/>
    <mergeCell ref="AG23:AM23"/>
    <mergeCell ref="AN23:AU23"/>
    <mergeCell ref="A24:D24"/>
    <mergeCell ref="E24:AA24"/>
    <mergeCell ref="AB24:AF24"/>
    <mergeCell ref="AG24:AM24"/>
    <mergeCell ref="AN24:AU24"/>
    <mergeCell ref="A25:D25"/>
    <mergeCell ref="E25:AA25"/>
    <mergeCell ref="AB25:AF25"/>
    <mergeCell ref="AG25:AM25"/>
    <mergeCell ref="AN25:AU25"/>
    <mergeCell ref="A26:D26"/>
    <mergeCell ref="E26:AA26"/>
    <mergeCell ref="AB26:AF26"/>
    <mergeCell ref="AG26:AM26"/>
    <mergeCell ref="AN26:AU26"/>
    <mergeCell ref="A27:D27"/>
    <mergeCell ref="E27:AA27"/>
    <mergeCell ref="AB27:AF27"/>
    <mergeCell ref="AG27:AM27"/>
    <mergeCell ref="AN27:AU27"/>
    <mergeCell ref="A28:D28"/>
    <mergeCell ref="E28:AA28"/>
    <mergeCell ref="AB28:AF28"/>
    <mergeCell ref="AG28:AM28"/>
    <mergeCell ref="AN28:AU28"/>
    <mergeCell ref="A32:D32"/>
    <mergeCell ref="E32:AA32"/>
    <mergeCell ref="AB32:AF32"/>
    <mergeCell ref="AG32:AM32"/>
    <mergeCell ref="AN32:AU32"/>
    <mergeCell ref="A33:D33"/>
    <mergeCell ref="E33:AA33"/>
    <mergeCell ref="AB33:AF33"/>
    <mergeCell ref="AG33:AM33"/>
    <mergeCell ref="AN33:AU33"/>
    <mergeCell ref="A34:D34"/>
    <mergeCell ref="E34:AA34"/>
    <mergeCell ref="AB34:AF34"/>
    <mergeCell ref="AG34:AM34"/>
    <mergeCell ref="AN34:AU34"/>
    <mergeCell ref="A35:D35"/>
    <mergeCell ref="E35:AA35"/>
    <mergeCell ref="AB35:AF35"/>
    <mergeCell ref="AG35:AM35"/>
    <mergeCell ref="AN35:AU35"/>
    <mergeCell ref="A36:D36"/>
    <mergeCell ref="E36:AA36"/>
    <mergeCell ref="AB36:AF36"/>
    <mergeCell ref="AG36:AM36"/>
    <mergeCell ref="AN36:AU36"/>
    <mergeCell ref="A37:D37"/>
    <mergeCell ref="E37:AA37"/>
    <mergeCell ref="AB37:AF37"/>
    <mergeCell ref="AG37:AM37"/>
    <mergeCell ref="AN37:AU37"/>
    <mergeCell ref="A38:D38"/>
    <mergeCell ref="E38:AA38"/>
    <mergeCell ref="AB38:AF38"/>
    <mergeCell ref="AG38:AM38"/>
    <mergeCell ref="AN38:AU38"/>
    <mergeCell ref="A39:D39"/>
    <mergeCell ref="E39:AA39"/>
    <mergeCell ref="AB39:AF39"/>
    <mergeCell ref="AG39:AM39"/>
    <mergeCell ref="AN39:AU39"/>
    <mergeCell ref="A43:AU43"/>
    <mergeCell ref="A45:D45"/>
    <mergeCell ref="E45:AA45"/>
    <mergeCell ref="AB45:AF45"/>
    <mergeCell ref="AG45:AM45"/>
    <mergeCell ref="AN45:AU45"/>
    <mergeCell ref="A40:D40"/>
    <mergeCell ref="E40:AA40"/>
    <mergeCell ref="AB40:AF40"/>
    <mergeCell ref="AG40:AM40"/>
    <mergeCell ref="AN40:AU40"/>
    <mergeCell ref="A41:D41"/>
    <mergeCell ref="E41:AA41"/>
    <mergeCell ref="AB41:AF41"/>
    <mergeCell ref="AG41:AM41"/>
    <mergeCell ref="AN41:AU41"/>
    <mergeCell ref="A46:D46"/>
    <mergeCell ref="E46:AA46"/>
    <mergeCell ref="AB46:AF46"/>
    <mergeCell ref="AG46:AM46"/>
    <mergeCell ref="AN46:AU46"/>
    <mergeCell ref="A47:D47"/>
    <mergeCell ref="E47:AA47"/>
    <mergeCell ref="AB47:AF47"/>
    <mergeCell ref="AG47:AM47"/>
    <mergeCell ref="AN47:AU47"/>
    <mergeCell ref="A48:D48"/>
    <mergeCell ref="E48:AA48"/>
    <mergeCell ref="AB48:AF48"/>
    <mergeCell ref="AG48:AM48"/>
    <mergeCell ref="AN48:AU48"/>
    <mergeCell ref="A49:D49"/>
    <mergeCell ref="E49:AA49"/>
    <mergeCell ref="AB49:AF49"/>
    <mergeCell ref="AG49:AM49"/>
    <mergeCell ref="AN49:AU49"/>
    <mergeCell ref="A50:D50"/>
    <mergeCell ref="E50:AA50"/>
    <mergeCell ref="AB50:AF50"/>
    <mergeCell ref="AG50:AM50"/>
    <mergeCell ref="AN50:AU50"/>
    <mergeCell ref="A51:D51"/>
    <mergeCell ref="E51:AA51"/>
    <mergeCell ref="AB51:AF51"/>
    <mergeCell ref="AG51:AM51"/>
    <mergeCell ref="AN51:AU51"/>
    <mergeCell ref="A52:D52"/>
    <mergeCell ref="E52:AA52"/>
    <mergeCell ref="AB52:AF52"/>
    <mergeCell ref="AG52:AM52"/>
    <mergeCell ref="AN52:AU52"/>
    <mergeCell ref="A53:D53"/>
    <mergeCell ref="E53:AA53"/>
    <mergeCell ref="AB53:AF53"/>
    <mergeCell ref="AG53:AM53"/>
    <mergeCell ref="AN53:AU53"/>
    <mergeCell ref="A56:AU56"/>
    <mergeCell ref="A58:D58"/>
    <mergeCell ref="E58:AA58"/>
    <mergeCell ref="AB58:AF58"/>
    <mergeCell ref="AG58:AM58"/>
    <mergeCell ref="AN58:AU58"/>
    <mergeCell ref="A54:D54"/>
    <mergeCell ref="E54:AA54"/>
    <mergeCell ref="AB54:AF54"/>
    <mergeCell ref="AG54:AM54"/>
    <mergeCell ref="AN54:AU54"/>
    <mergeCell ref="A55:D55"/>
    <mergeCell ref="E55:AA55"/>
    <mergeCell ref="AB55:AF55"/>
    <mergeCell ref="AG55:AM55"/>
    <mergeCell ref="AN55:AU55"/>
    <mergeCell ref="A59:D59"/>
    <mergeCell ref="E59:AA59"/>
    <mergeCell ref="AB59:AF59"/>
    <mergeCell ref="AG59:AM59"/>
    <mergeCell ref="AN59:AU59"/>
    <mergeCell ref="A60:D60"/>
    <mergeCell ref="E60:AA60"/>
    <mergeCell ref="AB60:AF60"/>
    <mergeCell ref="AG60:AM60"/>
    <mergeCell ref="AN60:AU60"/>
    <mergeCell ref="A61:D61"/>
    <mergeCell ref="E61:AA61"/>
    <mergeCell ref="AB61:AF61"/>
    <mergeCell ref="AG61:AM61"/>
    <mergeCell ref="AN61:AU61"/>
    <mergeCell ref="A62:D62"/>
    <mergeCell ref="E62:AA62"/>
    <mergeCell ref="AB62:AF62"/>
    <mergeCell ref="AG62:AM62"/>
    <mergeCell ref="AN62:AU62"/>
    <mergeCell ref="A63:D63"/>
    <mergeCell ref="E63:AA63"/>
    <mergeCell ref="AB63:AF63"/>
    <mergeCell ref="AG63:AM63"/>
    <mergeCell ref="AN63:AU63"/>
    <mergeCell ref="A64:D64"/>
    <mergeCell ref="E64:AA64"/>
    <mergeCell ref="AB64:AF64"/>
    <mergeCell ref="AG64:AM64"/>
    <mergeCell ref="AN64:AU64"/>
    <mergeCell ref="AN67:AU67"/>
    <mergeCell ref="A69:AU69"/>
    <mergeCell ref="A70:AU70"/>
    <mergeCell ref="A71:AU71"/>
    <mergeCell ref="A65:D65"/>
    <mergeCell ref="E65:AA65"/>
    <mergeCell ref="AB65:AF65"/>
    <mergeCell ref="AG65:AM65"/>
    <mergeCell ref="AN65:AU65"/>
    <mergeCell ref="A66:D66"/>
    <mergeCell ref="E66:AA66"/>
    <mergeCell ref="AB66:AF66"/>
    <mergeCell ref="AG66:AM66"/>
    <mergeCell ref="AN66:AU66"/>
  </mergeCells>
  <conditionalFormatting sqref="B14:AG14">
    <cfRule type="expression" dxfId="2" priority="1">
      <formula>$AW$11=0</formula>
    </cfRule>
  </conditionalFormatting>
  <dataValidations count="1">
    <dataValidation type="list" allowBlank="1" showInputMessage="1" showErrorMessage="1" sqref="E68:AA68">
      <formula1>INDIRECT("Номенклатура")</formula1>
    </dataValidation>
  </dataValidations>
  <pageMargins left="0.7" right="0.7" top="0.75" bottom="0.75" header="0.3" footer="0.3"/>
  <pageSetup paperSize="9" scale="90" orientation="portrait" r:id="rId1"/>
  <drawing r:id="rId2"/>
</worksheet>
</file>

<file path=xl/worksheets/sheet11.xml><?xml version="1.0" encoding="utf-8"?>
<worksheet xmlns="http://schemas.openxmlformats.org/spreadsheetml/2006/main" xmlns:r="http://schemas.openxmlformats.org/officeDocument/2006/relationships">
  <dimension ref="A1:DL81"/>
  <sheetViews>
    <sheetView topLeftCell="A59" zoomScaleNormal="100" workbookViewId="0">
      <selection activeCell="BL79" sqref="BL79"/>
    </sheetView>
  </sheetViews>
  <sheetFormatPr defaultColWidth="2" defaultRowHeight="15"/>
  <cols>
    <col min="56" max="56" width="2.85546875" customWidth="1"/>
    <col min="57" max="57" width="1.85546875" customWidth="1"/>
    <col min="58" max="58" width="1.7109375" customWidth="1"/>
    <col min="66" max="66" width="14.140625" customWidth="1"/>
    <col min="67" max="67" width="10.85546875" customWidth="1"/>
    <col min="68" max="68" width="38.85546875" customWidth="1"/>
    <col min="75" max="75" width="2.85546875" customWidth="1"/>
    <col min="77" max="77" width="3.85546875" customWidth="1"/>
    <col min="79" max="79" width="3.5703125" customWidth="1"/>
    <col min="87" max="87" width="6.5703125" customWidth="1"/>
    <col min="92" max="92" width="13.7109375" bestFit="1" customWidth="1"/>
    <col min="93" max="93" width="17.5703125" bestFit="1" customWidth="1"/>
    <col min="94" max="94" width="3" bestFit="1" customWidth="1"/>
    <col min="105" max="105" width="9.5703125" bestFit="1" customWidth="1"/>
    <col min="106" max="106" width="40.140625" bestFit="1" customWidth="1"/>
    <col min="109" max="109" width="40.140625" bestFit="1" customWidth="1"/>
    <col min="110" max="110" width="9.5703125" bestFit="1" customWidth="1"/>
    <col min="112" max="113" width="7.85546875" customWidth="1"/>
  </cols>
  <sheetData>
    <row r="1" spans="1:116">
      <c r="N1" s="385" t="s">
        <v>621</v>
      </c>
    </row>
    <row r="2" spans="1:116" ht="18.75">
      <c r="N2" s="386" t="s">
        <v>525</v>
      </c>
      <c r="BV2" s="80"/>
      <c r="BW2" s="80"/>
      <c r="BX2" s="80"/>
      <c r="BY2" s="80"/>
      <c r="BZ2" s="80"/>
      <c r="CA2" s="80"/>
      <c r="CB2" s="80"/>
      <c r="CC2" s="80"/>
      <c r="CD2" s="80"/>
    </row>
    <row r="3" spans="1:116" ht="15.75">
      <c r="N3" s="109" t="s">
        <v>622</v>
      </c>
      <c r="BN3" t="s">
        <v>607</v>
      </c>
      <c r="BO3" t="str">
        <f>ДляДоговора!B5</f>
        <v>генерального директора</v>
      </c>
      <c r="BP3" t="str">
        <f>IF(BO3="директора","Директору",IF(BO3="генерального директора","Генеральному директору",IF(BO3="исполнительного директора","Исполнительному директору",IF(BO3="индивидуального предпринимателя","Индивидуальному предпринимателю",IF(BO3="управляющего","Управляющему",IF(BO3="управляющего индивидуального предпринимателя","Управляющему индивидуальному предпринимателю",0))))))</f>
        <v>Генеральному директору</v>
      </c>
      <c r="BV3" s="80"/>
      <c r="BW3" s="80"/>
      <c r="BX3" s="80"/>
      <c r="BY3" s="127"/>
      <c r="BZ3" s="80"/>
      <c r="CA3" s="80"/>
      <c r="CB3" s="80"/>
      <c r="CC3" s="80"/>
      <c r="CD3" s="80"/>
      <c r="CI3" s="93"/>
      <c r="CJ3" s="93"/>
      <c r="CK3" s="93"/>
      <c r="CL3" s="93"/>
      <c r="CM3" s="127"/>
      <c r="CN3" s="797"/>
      <c r="CO3" s="797"/>
      <c r="CP3" s="127"/>
      <c r="CQ3" s="80"/>
      <c r="DA3" s="387"/>
      <c r="DB3" s="387"/>
      <c r="DC3" s="387"/>
      <c r="DD3" s="387"/>
      <c r="DE3" s="387"/>
      <c r="DF3" s="387"/>
      <c r="DG3" s="387"/>
      <c r="DH3" s="387"/>
      <c r="DI3" s="387"/>
      <c r="DJ3" s="25"/>
      <c r="DK3" s="25"/>
    </row>
    <row r="4" spans="1:116" ht="15.75">
      <c r="D4" s="385"/>
      <c r="E4" s="385"/>
      <c r="F4" s="385"/>
      <c r="G4" s="385"/>
      <c r="H4" s="385"/>
      <c r="I4" s="385"/>
      <c r="J4" s="385"/>
      <c r="N4" s="109" t="s">
        <v>623</v>
      </c>
      <c r="BN4" t="s">
        <v>93</v>
      </c>
      <c r="BP4" t="str">
        <f>ДляДоговора!B6</f>
        <v>Коряжбина Эдуарда Васильевича</v>
      </c>
      <c r="BV4" s="366"/>
      <c r="BW4" s="366"/>
      <c r="BX4" s="366"/>
      <c r="BY4" s="366"/>
      <c r="BZ4" s="366"/>
      <c r="CA4" s="366"/>
      <c r="CB4" s="80"/>
      <c r="CC4" s="80"/>
      <c r="CD4" s="80"/>
      <c r="CI4" s="93"/>
      <c r="CJ4" s="93"/>
      <c r="CK4" s="93"/>
      <c r="CL4" s="93"/>
      <c r="CM4" s="127"/>
      <c r="CN4" s="127"/>
      <c r="CO4" s="127"/>
      <c r="CP4" s="127"/>
      <c r="CQ4" s="80"/>
      <c r="DA4" s="387"/>
      <c r="DB4" s="387"/>
      <c r="DC4" s="387"/>
      <c r="DD4" s="387"/>
      <c r="DE4" s="387"/>
      <c r="DF4" s="387"/>
      <c r="DG4" s="387"/>
      <c r="DH4" s="387"/>
      <c r="DI4" s="387"/>
      <c r="DJ4" s="25"/>
      <c r="DK4" s="25"/>
    </row>
    <row r="5" spans="1:116" ht="18.75">
      <c r="D5" s="386"/>
      <c r="E5" s="386"/>
      <c r="N5" s="109" t="s">
        <v>624</v>
      </c>
      <c r="BN5" t="s">
        <v>608</v>
      </c>
      <c r="BP5" s="131" t="s">
        <v>609</v>
      </c>
      <c r="BV5" s="80"/>
      <c r="BW5" s="80"/>
      <c r="BX5" s="80"/>
      <c r="BY5" s="80"/>
      <c r="BZ5" s="80"/>
      <c r="CA5" s="80"/>
      <c r="CB5" s="80"/>
      <c r="CC5" s="80"/>
      <c r="CD5" s="80"/>
      <c r="CI5" s="93"/>
      <c r="CJ5" s="93"/>
      <c r="CK5" s="93"/>
      <c r="CL5" s="93"/>
      <c r="CM5" s="127"/>
      <c r="CN5" s="127"/>
      <c r="CO5" s="127"/>
      <c r="CP5" s="127"/>
      <c r="CQ5" s="80"/>
      <c r="DA5" s="388"/>
      <c r="DB5" s="389"/>
      <c r="DC5" s="387"/>
      <c r="DD5" s="387"/>
      <c r="DE5" s="389"/>
      <c r="DF5" s="390"/>
      <c r="DG5" s="387"/>
      <c r="DH5" s="387"/>
      <c r="DI5" s="387"/>
      <c r="DJ5" s="25"/>
      <c r="DK5" s="25"/>
      <c r="DL5" s="25"/>
    </row>
    <row r="6" spans="1:116" ht="15.75">
      <c r="D6" s="109"/>
      <c r="E6" s="109"/>
      <c r="N6" s="109" t="s">
        <v>625</v>
      </c>
      <c r="CI6" s="93"/>
      <c r="CJ6" s="93"/>
      <c r="CK6" s="93"/>
      <c r="CL6" s="93"/>
      <c r="CM6" s="127"/>
      <c r="CN6" s="127"/>
      <c r="CO6" s="127"/>
      <c r="CP6" s="127"/>
      <c r="CQ6" s="80"/>
      <c r="DA6" s="388"/>
      <c r="DB6" s="389"/>
      <c r="DC6" s="387"/>
      <c r="DD6" s="387"/>
      <c r="DE6" s="389"/>
      <c r="DF6" s="390"/>
      <c r="DG6" s="387"/>
      <c r="DH6" s="387"/>
      <c r="DI6" s="387"/>
      <c r="DJ6" s="25"/>
      <c r="DK6" s="25"/>
      <c r="DL6" s="25"/>
    </row>
    <row r="7" spans="1:116" ht="15.75">
      <c r="D7" s="109"/>
      <c r="E7" s="109"/>
      <c r="N7" s="109" t="s">
        <v>610</v>
      </c>
      <c r="CI7" s="93"/>
      <c r="CJ7" s="93"/>
      <c r="CK7" s="93"/>
      <c r="CL7" s="93"/>
      <c r="CM7" s="127"/>
      <c r="CN7" s="127"/>
      <c r="CO7" s="127"/>
      <c r="CP7" s="127"/>
      <c r="CQ7" s="80"/>
      <c r="DA7" s="388"/>
      <c r="DB7" s="389"/>
      <c r="DC7" s="387"/>
      <c r="DD7" s="387"/>
      <c r="DE7" s="389"/>
      <c r="DF7" s="390"/>
      <c r="DG7" s="387"/>
      <c r="DH7" s="387"/>
      <c r="DI7" s="387"/>
      <c r="DJ7" s="25"/>
      <c r="DK7" s="25"/>
      <c r="DL7" s="25"/>
    </row>
    <row r="8" spans="1:116" ht="15.75">
      <c r="D8" s="109"/>
      <c r="E8" s="109"/>
      <c r="BN8" s="798" t="s">
        <v>611</v>
      </c>
      <c r="BO8" s="798"/>
      <c r="CI8" s="93"/>
      <c r="CJ8" s="93"/>
      <c r="CK8" s="93"/>
      <c r="CL8" s="93"/>
      <c r="CM8" s="127"/>
      <c r="CN8" s="127"/>
      <c r="CO8" s="127"/>
      <c r="CP8" s="127"/>
      <c r="CQ8" s="80"/>
      <c r="DA8" s="388"/>
      <c r="DB8" s="389"/>
      <c r="DC8" s="387"/>
      <c r="DD8" s="387"/>
      <c r="DE8" s="389"/>
      <c r="DF8" s="390"/>
      <c r="DG8" s="387"/>
      <c r="DH8" s="387"/>
      <c r="DI8" s="387"/>
      <c r="DJ8" s="25"/>
      <c r="DK8" s="25"/>
      <c r="DL8" s="25"/>
    </row>
    <row r="9" spans="1:116" ht="15.75">
      <c r="B9" t="str">
        <f ca="1">CONCATENATE("Исх. от ",BO9,".",BP10,".",BO11)</f>
        <v>Исх. от 30.03.2023</v>
      </c>
      <c r="D9" s="109"/>
      <c r="E9" s="109"/>
      <c r="AC9" t="str">
        <f>BP3</f>
        <v>Генеральному директору</v>
      </c>
      <c r="BN9" t="s">
        <v>585</v>
      </c>
      <c r="BO9">
        <f ca="1">DAY(TODAY())</f>
        <v>30</v>
      </c>
      <c r="CI9" s="93"/>
      <c r="CJ9" s="93"/>
      <c r="CK9" s="93"/>
      <c r="CL9" s="93"/>
      <c r="CM9" s="127"/>
      <c r="CN9" s="127"/>
      <c r="CO9" s="277"/>
      <c r="CP9" s="127"/>
      <c r="CQ9" s="80"/>
      <c r="DA9" s="388"/>
      <c r="DB9" s="389"/>
      <c r="DC9" s="387"/>
      <c r="DD9" s="387"/>
      <c r="DE9" s="389"/>
      <c r="DF9" s="390"/>
      <c r="DG9" s="387"/>
      <c r="DH9" s="387"/>
      <c r="DI9" s="387"/>
      <c r="DJ9" s="25"/>
      <c r="DK9" s="25"/>
      <c r="DL9" s="25"/>
    </row>
    <row r="10" spans="1:116" ht="15.75">
      <c r="D10" s="109"/>
      <c r="E10" s="109"/>
      <c r="AC10" t="str">
        <f>ДляДоговора!B4</f>
        <v>ООО "Эдвако-Инжиниринг"</v>
      </c>
      <c r="BN10" t="s">
        <v>587</v>
      </c>
      <c r="BO10">
        <f ca="1">MONTH(TODAY())</f>
        <v>3</v>
      </c>
      <c r="BP10" s="383" t="str">
        <f ca="1">IF(BO10=1,"01",IF(BO10=2,"02",IF(BO10=3,"03",IF(BO10=4,"04",IF(BO10=5,"05",IF(BO10=6,"06",IF(BO10=7,"07",IF(BO10=8,"08",IF(BO10=9,"09",IF(BO10=10,"10",IF(BO10=11,"11",IF(BO10=12,"12"))))))))))))</f>
        <v>03</v>
      </c>
      <c r="CI10" s="93"/>
      <c r="CJ10" s="93"/>
      <c r="CK10" s="93"/>
      <c r="CL10" s="93"/>
      <c r="CM10" s="127"/>
      <c r="CN10" s="127"/>
      <c r="CO10" s="127"/>
      <c r="CP10" s="391"/>
      <c r="CQ10" s="80"/>
      <c r="DA10" s="388"/>
      <c r="DB10" s="389"/>
      <c r="DC10" s="387"/>
      <c r="DD10" s="387"/>
      <c r="DE10" s="389"/>
      <c r="DF10" s="390"/>
      <c r="DG10" s="387"/>
      <c r="DH10" s="387"/>
      <c r="DI10" s="387"/>
      <c r="DJ10" s="25"/>
      <c r="DK10" s="25"/>
      <c r="DL10" s="25"/>
    </row>
    <row r="11" spans="1:116" ht="15.75">
      <c r="AC11" t="str">
        <f>BP5</f>
        <v>Краснопольскому Роману Евгеньевичу</v>
      </c>
      <c r="BN11" t="s">
        <v>590</v>
      </c>
      <c r="BO11">
        <f ca="1">YEAR(TODAY())</f>
        <v>2023</v>
      </c>
      <c r="CJ11" s="93"/>
      <c r="CK11" s="93"/>
      <c r="CL11" s="93"/>
      <c r="CM11" s="127"/>
      <c r="CN11" s="127"/>
      <c r="CO11" s="127"/>
      <c r="CP11" s="127"/>
      <c r="CQ11" s="80"/>
      <c r="DA11" s="388"/>
      <c r="DB11" s="389"/>
      <c r="DC11" s="387"/>
      <c r="DD11" s="387"/>
      <c r="DE11" s="389"/>
      <c r="DF11" s="392"/>
      <c r="DG11" s="393"/>
      <c r="DH11" s="393"/>
      <c r="DI11" s="393"/>
      <c r="DJ11" s="393"/>
      <c r="DK11" s="393"/>
      <c r="DL11" s="393"/>
    </row>
    <row r="12" spans="1:116" ht="15.75">
      <c r="CI12" s="93"/>
      <c r="CJ12" s="93"/>
      <c r="CK12" s="93"/>
      <c r="CL12" s="93"/>
      <c r="CM12" s="127"/>
      <c r="CN12" s="127"/>
      <c r="CO12" s="394"/>
      <c r="CP12" s="127"/>
      <c r="CQ12" s="80"/>
      <c r="DA12" s="388"/>
      <c r="DB12" s="389"/>
      <c r="DC12" s="387"/>
      <c r="DD12" s="387"/>
      <c r="DE12" s="389"/>
      <c r="DF12" s="392"/>
      <c r="DG12" s="393"/>
      <c r="DH12" s="393"/>
      <c r="DI12" s="393"/>
      <c r="DJ12" s="393"/>
      <c r="DK12" s="393"/>
      <c r="DL12" s="393"/>
    </row>
    <row r="13" spans="1:116" ht="15.75">
      <c r="A13" s="799" t="s">
        <v>612</v>
      </c>
      <c r="B13" s="799"/>
      <c r="C13" s="799"/>
      <c r="D13" s="799"/>
      <c r="E13" s="799"/>
      <c r="F13" s="799"/>
      <c r="G13" s="799"/>
      <c r="H13" s="799"/>
      <c r="I13" s="799"/>
      <c r="J13" s="799"/>
      <c r="K13" s="799"/>
      <c r="L13" s="799"/>
      <c r="M13" s="799"/>
      <c r="N13" s="799"/>
      <c r="O13" s="799"/>
      <c r="P13" s="799"/>
      <c r="Q13" s="799"/>
      <c r="R13" s="799"/>
      <c r="S13" s="799"/>
      <c r="T13" s="799"/>
      <c r="U13" s="799"/>
      <c r="V13" s="799"/>
      <c r="W13" s="799"/>
      <c r="X13" s="799"/>
      <c r="Y13" s="799"/>
      <c r="Z13" s="799"/>
      <c r="AA13" s="799"/>
      <c r="AB13" s="799"/>
      <c r="AC13" s="799"/>
      <c r="AD13" s="799"/>
      <c r="AE13" s="799"/>
      <c r="AF13" s="799"/>
      <c r="AG13" s="799"/>
      <c r="AH13" s="799"/>
      <c r="AI13" s="799"/>
      <c r="AJ13" s="799"/>
      <c r="AK13" s="799"/>
      <c r="AL13" s="799"/>
      <c r="AM13" s="799"/>
      <c r="AN13" s="799"/>
      <c r="AO13" s="799"/>
      <c r="AP13" s="799"/>
      <c r="AQ13" s="799"/>
      <c r="AR13" s="799"/>
      <c r="AS13" s="799"/>
      <c r="AT13" s="799"/>
      <c r="AU13" s="799"/>
      <c r="CI13" s="93"/>
      <c r="CJ13" s="93"/>
      <c r="CK13" s="93"/>
      <c r="CL13" s="93"/>
      <c r="CM13" s="127"/>
      <c r="CN13" s="127"/>
      <c r="CO13" s="127"/>
      <c r="CP13" s="127"/>
      <c r="CQ13" s="80"/>
      <c r="DA13" s="395"/>
      <c r="DB13" s="389"/>
      <c r="DC13" s="387"/>
      <c r="DD13" s="387"/>
      <c r="DE13" s="389"/>
      <c r="DF13" s="392"/>
      <c r="DG13" s="393"/>
      <c r="DH13" s="393"/>
      <c r="DI13" s="393"/>
      <c r="DJ13" s="393"/>
      <c r="DK13" s="393"/>
      <c r="DL13" s="393"/>
    </row>
    <row r="14" spans="1:116" ht="8.25" customHeight="1">
      <c r="CI14" s="93"/>
      <c r="CJ14" s="93"/>
      <c r="CK14" s="93"/>
      <c r="CL14" s="93"/>
      <c r="CM14" s="127"/>
      <c r="CN14" s="127"/>
      <c r="CO14" s="272"/>
      <c r="CP14" s="127"/>
      <c r="CQ14" s="80"/>
      <c r="DA14" s="387"/>
      <c r="DB14" s="389"/>
      <c r="DC14" s="387"/>
      <c r="DD14" s="387"/>
      <c r="DE14" s="389"/>
      <c r="DF14" s="392"/>
      <c r="DG14" s="393"/>
      <c r="DH14" s="393"/>
      <c r="DI14" s="393"/>
      <c r="DJ14" s="393"/>
      <c r="DK14" s="393"/>
      <c r="DL14" s="393"/>
    </row>
    <row r="15" spans="1:116" s="291" customFormat="1" ht="32.25" customHeight="1">
      <c r="A15" s="710" t="str">
        <f ca="1">CONCATENATE("В соответсвии с пунктом 4.5 Договора аренды оборудования №",ДляДоговора!B2," от ",ДляДоговора!B3,"  направляем вам уведомление о необходимости оплаты оборудования сданного в аренду и не возвращеного обратно.")</f>
        <v>В соответсвии с пунктом 4.5 Договора аренды оборудования №30/03-А(23) от 30 марта 2023г.  направляем вам уведомление о необходимости оплаты оборудования сданного в аренду и не возвращеного обратно.</v>
      </c>
      <c r="B15" s="710"/>
      <c r="C15" s="710"/>
      <c r="D15" s="710"/>
      <c r="E15" s="710"/>
      <c r="F15" s="710"/>
      <c r="G15" s="710"/>
      <c r="H15" s="710"/>
      <c r="I15" s="710"/>
      <c r="J15" s="710"/>
      <c r="K15" s="710"/>
      <c r="L15" s="710"/>
      <c r="M15" s="710"/>
      <c r="N15" s="710"/>
      <c r="O15" s="710"/>
      <c r="P15" s="710"/>
      <c r="Q15" s="710"/>
      <c r="R15" s="710"/>
      <c r="S15" s="710"/>
      <c r="T15" s="710"/>
      <c r="U15" s="710"/>
      <c r="V15" s="710"/>
      <c r="W15" s="710"/>
      <c r="X15" s="710"/>
      <c r="Y15" s="710"/>
      <c r="Z15" s="710"/>
      <c r="AA15" s="710"/>
      <c r="AB15" s="710"/>
      <c r="AC15" s="710"/>
      <c r="AD15" s="710"/>
      <c r="AE15" s="710"/>
      <c r="AF15" s="710"/>
      <c r="AG15" s="710"/>
      <c r="AH15" s="710"/>
      <c r="AI15" s="710"/>
      <c r="AJ15" s="710"/>
      <c r="AK15" s="710"/>
      <c r="AL15" s="710"/>
      <c r="AM15" s="710"/>
      <c r="AN15" s="710"/>
      <c r="AO15" s="710"/>
      <c r="AP15" s="710"/>
      <c r="AQ15" s="710"/>
      <c r="AR15" s="710"/>
      <c r="AS15" s="710"/>
      <c r="AT15" s="710"/>
      <c r="AU15" s="710"/>
      <c r="CM15" s="396"/>
      <c r="CN15" s="396"/>
      <c r="CO15" s="396"/>
      <c r="CP15" s="396"/>
      <c r="CQ15" s="396"/>
      <c r="DA15" s="397"/>
      <c r="DB15" s="398"/>
      <c r="DC15" s="397"/>
      <c r="DD15" s="397"/>
      <c r="DE15" s="398"/>
      <c r="DF15" s="392"/>
      <c r="DG15" s="393"/>
      <c r="DH15" s="393"/>
      <c r="DI15" s="393"/>
      <c r="DJ15" s="393"/>
      <c r="DK15" s="393"/>
      <c r="DL15" s="393"/>
    </row>
    <row r="16" spans="1:116" s="291" customFormat="1">
      <c r="A16" s="800" t="s">
        <v>613</v>
      </c>
      <c r="B16" s="800"/>
      <c r="C16" s="800"/>
      <c r="D16" s="800"/>
      <c r="E16" s="800"/>
      <c r="F16" s="800"/>
      <c r="G16" s="800"/>
      <c r="H16" s="800"/>
      <c r="I16" s="800"/>
      <c r="J16" s="800"/>
      <c r="K16" s="800"/>
      <c r="L16" s="800"/>
      <c r="M16" s="800"/>
      <c r="N16" s="800"/>
      <c r="O16" s="800"/>
      <c r="P16" s="800"/>
      <c r="Q16" s="800"/>
      <c r="R16" s="800"/>
      <c r="S16" s="800"/>
      <c r="T16" s="800"/>
      <c r="U16" s="800"/>
      <c r="V16" s="800"/>
      <c r="W16" s="800"/>
      <c r="X16" s="800"/>
      <c r="Y16" s="800"/>
      <c r="Z16" s="800"/>
      <c r="AA16" s="800"/>
      <c r="AB16" s="800"/>
      <c r="AC16" s="800"/>
      <c r="AD16" s="800"/>
      <c r="AE16" s="800"/>
      <c r="AF16" s="800"/>
      <c r="AG16" s="800"/>
      <c r="AH16" s="800"/>
      <c r="AI16" s="800"/>
      <c r="AJ16" s="800"/>
      <c r="AK16" s="800"/>
      <c r="AL16" s="800"/>
      <c r="AM16" s="800"/>
      <c r="AN16" s="800"/>
      <c r="AO16" s="800"/>
      <c r="AP16" s="800"/>
      <c r="AQ16" s="800"/>
      <c r="AR16" s="800"/>
      <c r="AS16" s="800"/>
      <c r="AT16" s="800"/>
      <c r="AU16" s="800"/>
      <c r="DA16" s="397"/>
      <c r="DB16" s="398"/>
      <c r="DC16" s="397"/>
      <c r="DD16" s="397"/>
      <c r="DE16" s="398"/>
      <c r="DF16" s="392"/>
      <c r="DG16" s="393"/>
      <c r="DH16" s="393"/>
      <c r="DI16" s="393"/>
      <c r="DJ16" s="393"/>
      <c r="DK16" s="393"/>
      <c r="DL16" s="393"/>
    </row>
    <row r="17" spans="1:116">
      <c r="A17" s="801" t="s">
        <v>614</v>
      </c>
      <c r="B17" s="801"/>
      <c r="C17" s="801"/>
      <c r="D17" s="801"/>
      <c r="E17" s="801"/>
      <c r="F17" s="801"/>
      <c r="G17" s="801"/>
      <c r="H17" s="801"/>
      <c r="I17" s="801"/>
      <c r="J17" s="801"/>
      <c r="K17" s="801"/>
      <c r="L17" s="801"/>
      <c r="M17" s="801"/>
      <c r="N17" s="801"/>
      <c r="O17" s="801"/>
      <c r="P17" s="801"/>
      <c r="Q17" s="801"/>
      <c r="R17" s="801"/>
      <c r="S17" s="801"/>
      <c r="T17" s="801"/>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DA17" s="387"/>
      <c r="DB17" s="389"/>
      <c r="DC17" s="387"/>
      <c r="DD17" s="387"/>
      <c r="DE17" s="389"/>
      <c r="DF17" s="392"/>
      <c r="DG17" s="393"/>
      <c r="DH17" s="393"/>
      <c r="DI17" s="393"/>
      <c r="DJ17" s="393"/>
      <c r="DK17" s="393"/>
      <c r="DL17" s="393"/>
    </row>
    <row r="18" spans="1:116" ht="7.5" customHeight="1" thickBot="1">
      <c r="DA18" s="387"/>
      <c r="DB18" s="389"/>
      <c r="DC18" s="387"/>
      <c r="DD18" s="387"/>
      <c r="DE18" s="389"/>
      <c r="DF18" s="392"/>
      <c r="DG18" s="393"/>
      <c r="DH18" s="393"/>
      <c r="DI18" s="393"/>
      <c r="DJ18" s="393"/>
      <c r="DK18" s="393"/>
      <c r="DL18" s="393"/>
    </row>
    <row r="19" spans="1:116" s="201" customFormat="1" ht="31.5" customHeight="1" thickBot="1">
      <c r="A19" s="755" t="s">
        <v>121</v>
      </c>
      <c r="B19" s="756"/>
      <c r="C19" s="756"/>
      <c r="D19" s="757"/>
      <c r="E19" s="758" t="s">
        <v>31</v>
      </c>
      <c r="F19" s="759"/>
      <c r="G19" s="759"/>
      <c r="H19" s="759"/>
      <c r="I19" s="759"/>
      <c r="J19" s="759"/>
      <c r="K19" s="759"/>
      <c r="L19" s="759"/>
      <c r="M19" s="759"/>
      <c r="N19" s="759"/>
      <c r="O19" s="759"/>
      <c r="P19" s="759"/>
      <c r="Q19" s="759"/>
      <c r="R19" s="759"/>
      <c r="S19" s="759"/>
      <c r="T19" s="759"/>
      <c r="U19" s="759"/>
      <c r="V19" s="759"/>
      <c r="W19" s="759"/>
      <c r="X19" s="759"/>
      <c r="Y19" s="759"/>
      <c r="Z19" s="759"/>
      <c r="AA19" s="760"/>
      <c r="AB19" s="761" t="s">
        <v>471</v>
      </c>
      <c r="AC19" s="756"/>
      <c r="AD19" s="756"/>
      <c r="AE19" s="756"/>
      <c r="AF19" s="757"/>
      <c r="AG19" s="779" t="s">
        <v>122</v>
      </c>
      <c r="AH19" s="756"/>
      <c r="AI19" s="756"/>
      <c r="AJ19" s="756"/>
      <c r="AK19" s="756"/>
      <c r="AL19" s="756"/>
      <c r="AM19" s="765"/>
      <c r="AN19" s="761" t="s">
        <v>548</v>
      </c>
      <c r="AO19" s="756"/>
      <c r="AP19" s="756"/>
      <c r="AQ19" s="756"/>
      <c r="AR19" s="756"/>
      <c r="AS19" s="756"/>
      <c r="AT19" s="756"/>
      <c r="AU19" s="765"/>
      <c r="DA19" s="399"/>
      <c r="DB19" s="389"/>
      <c r="DC19" s="400"/>
      <c r="DD19" s="400"/>
      <c r="DE19" s="389"/>
      <c r="DF19" s="392"/>
      <c r="DG19" s="393"/>
      <c r="DH19" s="393"/>
      <c r="DI19" s="393"/>
      <c r="DJ19" s="393"/>
      <c r="DK19" s="393"/>
      <c r="DL19" s="393"/>
    </row>
    <row r="20" spans="1:116" ht="15.75">
      <c r="A20" s="742">
        <v>1</v>
      </c>
      <c r="B20" s="743"/>
      <c r="C20" s="743"/>
      <c r="D20" s="744"/>
      <c r="E20" s="745" t="str">
        <f>'Договор аренды тур Юр'!E135</f>
        <v>База в сборе (2420мм)</v>
      </c>
      <c r="F20" s="746"/>
      <c r="G20" s="746"/>
      <c r="H20" s="746"/>
      <c r="I20" s="746"/>
      <c r="J20" s="746"/>
      <c r="K20" s="746"/>
      <c r="L20" s="746"/>
      <c r="M20" s="746"/>
      <c r="N20" s="746"/>
      <c r="O20" s="746"/>
      <c r="P20" s="746"/>
      <c r="Q20" s="746"/>
      <c r="R20" s="746"/>
      <c r="S20" s="746"/>
      <c r="T20" s="746"/>
      <c r="U20" s="746"/>
      <c r="V20" s="746"/>
      <c r="W20" s="746"/>
      <c r="X20" s="746"/>
      <c r="Y20" s="746"/>
      <c r="Z20" s="746"/>
      <c r="AA20" s="747"/>
      <c r="AB20" s="748">
        <f>'Договор аренды тур Юр'!Y135</f>
        <v>2</v>
      </c>
      <c r="AC20" s="743"/>
      <c r="AD20" s="743"/>
      <c r="AE20" s="743"/>
      <c r="AF20" s="744"/>
      <c r="AG20" s="749">
        <f>'Договор аренды тур Юр'!AF135</f>
        <v>4160</v>
      </c>
      <c r="AH20" s="750"/>
      <c r="AI20" s="750"/>
      <c r="AJ20" s="750"/>
      <c r="AK20" s="750"/>
      <c r="AL20" s="750"/>
      <c r="AM20" s="751"/>
      <c r="AN20" s="752">
        <f>AB20*AG20</f>
        <v>8320</v>
      </c>
      <c r="AO20" s="750"/>
      <c r="AP20" s="750"/>
      <c r="AQ20" s="750"/>
      <c r="AR20" s="750"/>
      <c r="AS20" s="750"/>
      <c r="AT20" s="750"/>
      <c r="AU20" s="751"/>
      <c r="BN20" s="80"/>
      <c r="BO20" s="267"/>
      <c r="BP20" s="80"/>
      <c r="DA20" s="387"/>
      <c r="DB20" s="400"/>
      <c r="DC20" s="387"/>
      <c r="DD20" s="387"/>
      <c r="DE20" s="400"/>
      <c r="DF20" s="392"/>
      <c r="DG20" s="393"/>
      <c r="DH20" s="393"/>
      <c r="DI20" s="393"/>
      <c r="DJ20" s="393"/>
      <c r="DK20" s="393"/>
      <c r="DL20" s="393"/>
    </row>
    <row r="21" spans="1:116" ht="15.75">
      <c r="A21" s="722">
        <v>2</v>
      </c>
      <c r="B21" s="717"/>
      <c r="C21" s="717"/>
      <c r="D21" s="723"/>
      <c r="E21" s="724" t="str">
        <f>'Договор аренды тур Юр'!E136</f>
        <v>Лестница секции (1160мм х 1214мм)</v>
      </c>
      <c r="F21" s="718"/>
      <c r="G21" s="718"/>
      <c r="H21" s="718"/>
      <c r="I21" s="718"/>
      <c r="J21" s="718"/>
      <c r="K21" s="718"/>
      <c r="L21" s="718"/>
      <c r="M21" s="718"/>
      <c r="N21" s="718"/>
      <c r="O21" s="718"/>
      <c r="P21" s="718"/>
      <c r="Q21" s="718"/>
      <c r="R21" s="718"/>
      <c r="S21" s="718"/>
      <c r="T21" s="718"/>
      <c r="U21" s="718"/>
      <c r="V21" s="718"/>
      <c r="W21" s="718"/>
      <c r="X21" s="718"/>
      <c r="Y21" s="718"/>
      <c r="Z21" s="718"/>
      <c r="AA21" s="725"/>
      <c r="AB21" s="726">
        <f>'Договор аренды тур Юр'!Y136</f>
        <v>6</v>
      </c>
      <c r="AC21" s="717"/>
      <c r="AD21" s="717"/>
      <c r="AE21" s="717"/>
      <c r="AF21" s="723"/>
      <c r="AG21" s="727">
        <f>'Договор аренды тур Юр'!AF136</f>
        <v>1300</v>
      </c>
      <c r="AH21" s="721"/>
      <c r="AI21" s="721"/>
      <c r="AJ21" s="721"/>
      <c r="AK21" s="721"/>
      <c r="AL21" s="721"/>
      <c r="AM21" s="728"/>
      <c r="AN21" s="729">
        <f t="shared" ref="AN21:AN28" si="0">AB21*AG21</f>
        <v>7800</v>
      </c>
      <c r="AO21" s="721"/>
      <c r="AP21" s="721"/>
      <c r="AQ21" s="721"/>
      <c r="AR21" s="721"/>
      <c r="AS21" s="721"/>
      <c r="AT21" s="721"/>
      <c r="AU21" s="728"/>
      <c r="BN21" s="80"/>
      <c r="BO21" s="268"/>
      <c r="BP21" s="80"/>
      <c r="DA21" s="387"/>
      <c r="DB21" s="389"/>
      <c r="DC21" s="387"/>
      <c r="DD21" s="387"/>
      <c r="DE21" s="389"/>
      <c r="DF21" s="392"/>
      <c r="DG21" s="387"/>
      <c r="DH21" s="387"/>
      <c r="DI21" s="387"/>
      <c r="DJ21" s="25"/>
      <c r="DK21" s="25"/>
    </row>
    <row r="22" spans="1:116" ht="15.75">
      <c r="A22" s="722">
        <v>3</v>
      </c>
      <c r="B22" s="717"/>
      <c r="C22" s="717"/>
      <c r="D22" s="723"/>
      <c r="E22" s="724" t="str">
        <f>'Договор аренды тур Юр'!E137</f>
        <v>Диагональ объемная (2305мм)</v>
      </c>
      <c r="F22" s="718"/>
      <c r="G22" s="718"/>
      <c r="H22" s="718"/>
      <c r="I22" s="718"/>
      <c r="J22" s="718"/>
      <c r="K22" s="718"/>
      <c r="L22" s="718"/>
      <c r="M22" s="718"/>
      <c r="N22" s="718"/>
      <c r="O22" s="718"/>
      <c r="P22" s="718"/>
      <c r="Q22" s="718"/>
      <c r="R22" s="718"/>
      <c r="S22" s="718"/>
      <c r="T22" s="718"/>
      <c r="U22" s="718"/>
      <c r="V22" s="718"/>
      <c r="W22" s="718"/>
      <c r="X22" s="718"/>
      <c r="Y22" s="718"/>
      <c r="Z22" s="718"/>
      <c r="AA22" s="725"/>
      <c r="AB22" s="726">
        <f>'Договор аренды тур Юр'!Y137</f>
        <v>1</v>
      </c>
      <c r="AC22" s="717"/>
      <c r="AD22" s="717"/>
      <c r="AE22" s="717"/>
      <c r="AF22" s="723"/>
      <c r="AG22" s="727">
        <f>'Договор аренды тур Юр'!AF137</f>
        <v>630</v>
      </c>
      <c r="AH22" s="721"/>
      <c r="AI22" s="721"/>
      <c r="AJ22" s="721"/>
      <c r="AK22" s="721"/>
      <c r="AL22" s="721"/>
      <c r="AM22" s="728"/>
      <c r="AN22" s="729">
        <f t="shared" si="0"/>
        <v>630</v>
      </c>
      <c r="AO22" s="721"/>
      <c r="AP22" s="721"/>
      <c r="AQ22" s="721"/>
      <c r="AR22" s="721"/>
      <c r="AS22" s="721"/>
      <c r="AT22" s="721"/>
      <c r="AU22" s="728"/>
      <c r="BN22" s="80"/>
      <c r="BO22" s="267"/>
      <c r="BP22" s="80"/>
      <c r="DA22" s="387"/>
      <c r="DB22" s="389"/>
      <c r="DC22" s="387"/>
      <c r="DD22" s="387"/>
      <c r="DE22" s="389"/>
      <c r="DF22" s="387"/>
      <c r="DG22" s="387"/>
      <c r="DH22" s="387"/>
      <c r="DI22" s="387"/>
      <c r="DJ22" s="25"/>
      <c r="DK22" s="25"/>
    </row>
    <row r="23" spans="1:116">
      <c r="A23" s="722">
        <v>4</v>
      </c>
      <c r="B23" s="717"/>
      <c r="C23" s="717"/>
      <c r="D23" s="723"/>
      <c r="E23" s="724" t="str">
        <f>'Договор аренды тур Юр'!E138</f>
        <v>Гантель (1975мм)</v>
      </c>
      <c r="F23" s="718"/>
      <c r="G23" s="718"/>
      <c r="H23" s="718"/>
      <c r="I23" s="718"/>
      <c r="J23" s="718"/>
      <c r="K23" s="718"/>
      <c r="L23" s="718"/>
      <c r="M23" s="718"/>
      <c r="N23" s="718"/>
      <c r="O23" s="718"/>
      <c r="P23" s="718"/>
      <c r="Q23" s="718"/>
      <c r="R23" s="718"/>
      <c r="S23" s="718"/>
      <c r="T23" s="718"/>
      <c r="U23" s="718"/>
      <c r="V23" s="718"/>
      <c r="W23" s="718"/>
      <c r="X23" s="718"/>
      <c r="Y23" s="718"/>
      <c r="Z23" s="718"/>
      <c r="AA23" s="725"/>
      <c r="AB23" s="726">
        <f>'Договор аренды тур Юр'!Y138</f>
        <v>4</v>
      </c>
      <c r="AC23" s="717"/>
      <c r="AD23" s="717"/>
      <c r="AE23" s="717"/>
      <c r="AF23" s="723"/>
      <c r="AG23" s="727">
        <f>'Договор аренды тур Юр'!AF138</f>
        <v>860</v>
      </c>
      <c r="AH23" s="721"/>
      <c r="AI23" s="721"/>
      <c r="AJ23" s="721"/>
      <c r="AK23" s="721"/>
      <c r="AL23" s="721"/>
      <c r="AM23" s="728"/>
      <c r="AN23" s="729">
        <f t="shared" si="0"/>
        <v>3440</v>
      </c>
      <c r="AO23" s="721"/>
      <c r="AP23" s="721"/>
      <c r="AQ23" s="721"/>
      <c r="AR23" s="721"/>
      <c r="AS23" s="721"/>
      <c r="AT23" s="721"/>
      <c r="AU23" s="728"/>
      <c r="BN23" s="80"/>
      <c r="BO23" s="80"/>
      <c r="BP23" s="80"/>
      <c r="DA23" s="387"/>
      <c r="DB23" s="389"/>
      <c r="DC23" s="387"/>
      <c r="DD23" s="387"/>
      <c r="DE23" s="389"/>
      <c r="DF23" s="387"/>
      <c r="DG23" s="387"/>
      <c r="DH23" s="387"/>
      <c r="DI23" s="387"/>
      <c r="DJ23" s="25"/>
      <c r="DK23" s="25"/>
    </row>
    <row r="24" spans="1:116">
      <c r="A24" s="722">
        <v>5</v>
      </c>
      <c r="B24" s="717"/>
      <c r="C24" s="717"/>
      <c r="D24" s="723"/>
      <c r="E24" s="724" t="str">
        <f>'Договор аренды тур Юр'!E139</f>
        <v>Стяжка лестницы (840мм)</v>
      </c>
      <c r="F24" s="718"/>
      <c r="G24" s="718"/>
      <c r="H24" s="718"/>
      <c r="I24" s="718"/>
      <c r="J24" s="718"/>
      <c r="K24" s="718"/>
      <c r="L24" s="718"/>
      <c r="M24" s="718"/>
      <c r="N24" s="718"/>
      <c r="O24" s="718"/>
      <c r="P24" s="718"/>
      <c r="Q24" s="718"/>
      <c r="R24" s="718"/>
      <c r="S24" s="718"/>
      <c r="T24" s="718"/>
      <c r="U24" s="718"/>
      <c r="V24" s="718"/>
      <c r="W24" s="718"/>
      <c r="X24" s="718"/>
      <c r="Y24" s="718"/>
      <c r="Z24" s="718"/>
      <c r="AA24" s="725"/>
      <c r="AB24" s="726">
        <f>'Договор аренды тур Юр'!Y139</f>
        <v>24</v>
      </c>
      <c r="AC24" s="717"/>
      <c r="AD24" s="717"/>
      <c r="AE24" s="717"/>
      <c r="AF24" s="723"/>
      <c r="AG24" s="727">
        <f>'Договор аренды тур Юр'!AF139</f>
        <v>140</v>
      </c>
      <c r="AH24" s="721"/>
      <c r="AI24" s="721"/>
      <c r="AJ24" s="721"/>
      <c r="AK24" s="721"/>
      <c r="AL24" s="721"/>
      <c r="AM24" s="728"/>
      <c r="AN24" s="729">
        <f t="shared" si="0"/>
        <v>3360</v>
      </c>
      <c r="AO24" s="721"/>
      <c r="AP24" s="721"/>
      <c r="AQ24" s="721"/>
      <c r="AR24" s="721"/>
      <c r="AS24" s="721"/>
      <c r="AT24" s="721"/>
      <c r="AU24" s="728"/>
      <c r="BN24" s="80"/>
      <c r="BO24" s="80"/>
      <c r="BP24" s="80"/>
      <c r="DA24" s="387"/>
      <c r="DB24" s="389"/>
      <c r="DC24" s="387"/>
      <c r="DD24" s="387"/>
      <c r="DE24" s="389"/>
      <c r="DF24" s="387"/>
      <c r="DG24" s="387"/>
      <c r="DH24" s="387"/>
      <c r="DI24" s="387"/>
      <c r="DJ24" s="25"/>
      <c r="DK24" s="25"/>
    </row>
    <row r="25" spans="1:116">
      <c r="A25" s="722">
        <v>6</v>
      </c>
      <c r="B25" s="717"/>
      <c r="C25" s="717"/>
      <c r="D25" s="723"/>
      <c r="E25" s="724" t="str">
        <f>'Договор аренды тур Юр'!E140</f>
        <v>Стабилизатор в сборе (2400мм)</v>
      </c>
      <c r="F25" s="718"/>
      <c r="G25" s="718"/>
      <c r="H25" s="718"/>
      <c r="I25" s="718"/>
      <c r="J25" s="718"/>
      <c r="K25" s="718"/>
      <c r="L25" s="718"/>
      <c r="M25" s="718"/>
      <c r="N25" s="718"/>
      <c r="O25" s="718"/>
      <c r="P25" s="718"/>
      <c r="Q25" s="718"/>
      <c r="R25" s="718"/>
      <c r="S25" s="718"/>
      <c r="T25" s="718"/>
      <c r="U25" s="718"/>
      <c r="V25" s="718"/>
      <c r="W25" s="718"/>
      <c r="X25" s="718"/>
      <c r="Y25" s="718"/>
      <c r="Z25" s="718"/>
      <c r="AA25" s="725"/>
      <c r="AB25" s="726">
        <f>'Договор аренды тур Юр'!Y140</f>
        <v>0</v>
      </c>
      <c r="AC25" s="717"/>
      <c r="AD25" s="717"/>
      <c r="AE25" s="717"/>
      <c r="AF25" s="723"/>
      <c r="AG25" s="727">
        <f>'Договор аренды тур Юр'!AF140</f>
        <v>860</v>
      </c>
      <c r="AH25" s="721"/>
      <c r="AI25" s="721"/>
      <c r="AJ25" s="721"/>
      <c r="AK25" s="721"/>
      <c r="AL25" s="721"/>
      <c r="AM25" s="728"/>
      <c r="AN25" s="729">
        <f t="shared" si="0"/>
        <v>0</v>
      </c>
      <c r="AO25" s="721"/>
      <c r="AP25" s="721"/>
      <c r="AQ25" s="721"/>
      <c r="AR25" s="721"/>
      <c r="AS25" s="721"/>
      <c r="AT25" s="721"/>
      <c r="AU25" s="728"/>
      <c r="BN25" s="80"/>
      <c r="BO25" s="80"/>
      <c r="BP25" s="80"/>
      <c r="DA25" s="387"/>
      <c r="DB25" s="389"/>
      <c r="DC25" s="387"/>
      <c r="DD25" s="387"/>
      <c r="DE25" s="389"/>
      <c r="DF25" s="387"/>
      <c r="DG25" s="387"/>
      <c r="DH25" s="387"/>
      <c r="DI25" s="387"/>
      <c r="DJ25" s="25"/>
      <c r="DK25" s="25"/>
    </row>
    <row r="26" spans="1:116">
      <c r="A26" s="722">
        <v>7</v>
      </c>
      <c r="B26" s="717"/>
      <c r="C26" s="717"/>
      <c r="D26" s="723"/>
      <c r="E26" s="724" t="str">
        <f>'Договор аренды тур Юр'!E141</f>
        <v>Гантель ограждения (1965мм)</v>
      </c>
      <c r="F26" s="718"/>
      <c r="G26" s="718"/>
      <c r="H26" s="718"/>
      <c r="I26" s="718"/>
      <c r="J26" s="718"/>
      <c r="K26" s="718"/>
      <c r="L26" s="718"/>
      <c r="M26" s="718"/>
      <c r="N26" s="718"/>
      <c r="O26" s="718"/>
      <c r="P26" s="718"/>
      <c r="Q26" s="718"/>
      <c r="R26" s="718"/>
      <c r="S26" s="718"/>
      <c r="T26" s="718"/>
      <c r="U26" s="718"/>
      <c r="V26" s="718"/>
      <c r="W26" s="718"/>
      <c r="X26" s="718"/>
      <c r="Y26" s="718"/>
      <c r="Z26" s="718"/>
      <c r="AA26" s="725"/>
      <c r="AB26" s="726">
        <f>'Договор аренды тур Юр'!Y141</f>
        <v>2</v>
      </c>
      <c r="AC26" s="717"/>
      <c r="AD26" s="717"/>
      <c r="AE26" s="717"/>
      <c r="AF26" s="723"/>
      <c r="AG26" s="727">
        <f>'Договор аренды тур Юр'!AF141</f>
        <v>860</v>
      </c>
      <c r="AH26" s="721"/>
      <c r="AI26" s="721"/>
      <c r="AJ26" s="721"/>
      <c r="AK26" s="721"/>
      <c r="AL26" s="721"/>
      <c r="AM26" s="728"/>
      <c r="AN26" s="729">
        <f t="shared" si="0"/>
        <v>1720</v>
      </c>
      <c r="AO26" s="721"/>
      <c r="AP26" s="721"/>
      <c r="AQ26" s="721"/>
      <c r="AR26" s="721"/>
      <c r="AS26" s="721"/>
      <c r="AT26" s="721"/>
      <c r="AU26" s="728"/>
      <c r="DA26" s="387"/>
      <c r="DB26" s="389"/>
      <c r="DC26" s="387"/>
      <c r="DD26" s="387"/>
      <c r="DE26" s="389"/>
      <c r="DF26" s="387"/>
      <c r="DG26" s="387"/>
      <c r="DH26" s="387"/>
      <c r="DI26" s="387"/>
      <c r="DJ26" s="25"/>
      <c r="DK26" s="25"/>
    </row>
    <row r="27" spans="1:116" ht="15.75" customHeight="1">
      <c r="A27" s="722">
        <v>8</v>
      </c>
      <c r="B27" s="717"/>
      <c r="C27" s="717"/>
      <c r="D27" s="723"/>
      <c r="E27" s="724" t="str">
        <f>'Договор аренды тур Юр'!E142</f>
        <v>Настил без люка (1995мм х 525мм)</v>
      </c>
      <c r="F27" s="718"/>
      <c r="G27" s="718"/>
      <c r="H27" s="718"/>
      <c r="I27" s="718"/>
      <c r="J27" s="718"/>
      <c r="K27" s="718"/>
      <c r="L27" s="718"/>
      <c r="M27" s="718"/>
      <c r="N27" s="718"/>
      <c r="O27" s="718"/>
      <c r="P27" s="718"/>
      <c r="Q27" s="718"/>
      <c r="R27" s="718"/>
      <c r="S27" s="718"/>
      <c r="T27" s="718"/>
      <c r="U27" s="718"/>
      <c r="V27" s="718"/>
      <c r="W27" s="718"/>
      <c r="X27" s="718"/>
      <c r="Y27" s="718"/>
      <c r="Z27" s="718"/>
      <c r="AA27" s="725"/>
      <c r="AB27" s="726">
        <f>'Договор аренды тур Юр'!Y142</f>
        <v>1</v>
      </c>
      <c r="AC27" s="717"/>
      <c r="AD27" s="717"/>
      <c r="AE27" s="717"/>
      <c r="AF27" s="723"/>
      <c r="AG27" s="727">
        <f>'Договор аренды тур Юр'!AF142</f>
        <v>4240</v>
      </c>
      <c r="AH27" s="721"/>
      <c r="AI27" s="721"/>
      <c r="AJ27" s="721"/>
      <c r="AK27" s="721"/>
      <c r="AL27" s="721"/>
      <c r="AM27" s="728"/>
      <c r="AN27" s="729">
        <f t="shared" si="0"/>
        <v>4240</v>
      </c>
      <c r="AO27" s="721"/>
      <c r="AP27" s="721"/>
      <c r="AQ27" s="721"/>
      <c r="AR27" s="721"/>
      <c r="AS27" s="721"/>
      <c r="AT27" s="721"/>
      <c r="AU27" s="728"/>
      <c r="DA27" s="387"/>
      <c r="DB27" s="389"/>
      <c r="DC27" s="387"/>
      <c r="DD27" s="387"/>
      <c r="DE27" s="389"/>
      <c r="DF27" s="387"/>
      <c r="DG27" s="387"/>
      <c r="DH27" s="387"/>
      <c r="DI27" s="387"/>
      <c r="DJ27" s="25"/>
      <c r="DK27" s="25"/>
    </row>
    <row r="28" spans="1:116" ht="15.75" thickBot="1">
      <c r="A28" s="730">
        <v>9</v>
      </c>
      <c r="B28" s="731"/>
      <c r="C28" s="731"/>
      <c r="D28" s="732"/>
      <c r="E28" s="733" t="str">
        <f>'Договор аренды тур Юр'!E143</f>
        <v>Настил с люком (1995мм х 525мм)</v>
      </c>
      <c r="F28" s="734"/>
      <c r="G28" s="734"/>
      <c r="H28" s="734"/>
      <c r="I28" s="734"/>
      <c r="J28" s="734"/>
      <c r="K28" s="734"/>
      <c r="L28" s="734"/>
      <c r="M28" s="734"/>
      <c r="N28" s="734"/>
      <c r="O28" s="734"/>
      <c r="P28" s="734"/>
      <c r="Q28" s="734"/>
      <c r="R28" s="734"/>
      <c r="S28" s="734"/>
      <c r="T28" s="734"/>
      <c r="U28" s="734"/>
      <c r="V28" s="734"/>
      <c r="W28" s="734"/>
      <c r="X28" s="734"/>
      <c r="Y28" s="734"/>
      <c r="Z28" s="734"/>
      <c r="AA28" s="735"/>
      <c r="AB28" s="736">
        <f>'Договор аренды тур Юр'!Y143</f>
        <v>1</v>
      </c>
      <c r="AC28" s="731"/>
      <c r="AD28" s="731"/>
      <c r="AE28" s="731"/>
      <c r="AF28" s="732"/>
      <c r="AG28" s="737">
        <f>'Договор аренды тур Юр'!AF143</f>
        <v>4410</v>
      </c>
      <c r="AH28" s="738"/>
      <c r="AI28" s="738"/>
      <c r="AJ28" s="738"/>
      <c r="AK28" s="738"/>
      <c r="AL28" s="738"/>
      <c r="AM28" s="739"/>
      <c r="AN28" s="740">
        <f t="shared" si="0"/>
        <v>4410</v>
      </c>
      <c r="AO28" s="738"/>
      <c r="AP28" s="738"/>
      <c r="AQ28" s="738"/>
      <c r="AR28" s="738"/>
      <c r="AS28" s="738"/>
      <c r="AT28" s="738"/>
      <c r="AU28" s="739"/>
      <c r="DA28" s="387"/>
      <c r="DB28" s="389"/>
      <c r="DC28" s="387"/>
      <c r="DD28" s="387"/>
      <c r="DE28" s="389"/>
      <c r="DF28" s="387"/>
      <c r="DG28" s="387"/>
      <c r="DH28" s="387"/>
      <c r="DI28" s="387"/>
      <c r="DJ28" s="25"/>
      <c r="DK28" s="25"/>
    </row>
    <row r="29" spans="1:116">
      <c r="A29" s="766"/>
      <c r="B29" s="766"/>
      <c r="C29" s="766"/>
      <c r="D29" s="766"/>
      <c r="E29" s="786"/>
      <c r="F29" s="786"/>
      <c r="G29" s="786"/>
      <c r="H29" s="786"/>
      <c r="I29" s="786"/>
      <c r="J29" s="786"/>
      <c r="K29" s="786"/>
      <c r="L29" s="786"/>
      <c r="M29" s="786"/>
      <c r="N29" s="786"/>
      <c r="O29" s="786"/>
      <c r="P29" s="786"/>
      <c r="Q29" s="786"/>
      <c r="R29" s="786"/>
      <c r="S29" s="786"/>
      <c r="T29" s="786"/>
      <c r="U29" s="786"/>
      <c r="V29" s="786"/>
      <c r="W29" s="786"/>
      <c r="X29" s="786"/>
      <c r="Y29" s="786"/>
      <c r="Z29" s="786"/>
      <c r="AA29" s="786"/>
      <c r="AB29" s="767"/>
      <c r="AC29" s="766"/>
      <c r="AD29" s="766"/>
      <c r="AE29" s="766"/>
      <c r="AF29" s="766"/>
      <c r="AG29" s="787"/>
      <c r="AH29" s="788"/>
      <c r="AI29" s="788"/>
      <c r="AJ29" s="788"/>
      <c r="AK29" s="788"/>
      <c r="AL29" s="788"/>
      <c r="AM29" s="788"/>
      <c r="AN29" s="810">
        <f>SUM(AN20:AU28)</f>
        <v>33920</v>
      </c>
      <c r="AO29" s="811"/>
      <c r="AP29" s="811"/>
      <c r="AQ29" s="811"/>
      <c r="AR29" s="811"/>
      <c r="AS29" s="811"/>
      <c r="AT29" s="811"/>
      <c r="AU29" s="812"/>
      <c r="DA29" s="387"/>
      <c r="DB29" s="389"/>
      <c r="DC29" s="387"/>
      <c r="DD29" s="387"/>
      <c r="DE29" s="389"/>
      <c r="DF29" s="387"/>
      <c r="DG29" s="387"/>
      <c r="DH29" s="387"/>
      <c r="DI29" s="387"/>
      <c r="DJ29" s="25"/>
      <c r="DK29" s="25"/>
    </row>
    <row r="30" spans="1:116">
      <c r="DA30" s="387"/>
      <c r="DB30" s="387"/>
      <c r="DC30" s="387"/>
      <c r="DD30" s="387"/>
      <c r="DE30" s="389"/>
      <c r="DF30" s="401"/>
      <c r="DG30" s="387"/>
      <c r="DH30" s="387"/>
      <c r="DI30" s="387"/>
      <c r="DJ30" s="25"/>
      <c r="DK30" s="25"/>
    </row>
    <row r="31" spans="1:116">
      <c r="A31" t="s">
        <v>615</v>
      </c>
      <c r="DA31" s="387"/>
      <c r="DB31" s="387"/>
      <c r="DC31" s="387"/>
      <c r="DD31" s="387"/>
      <c r="DE31" s="389"/>
      <c r="DF31" s="401"/>
      <c r="DG31" s="387"/>
      <c r="DH31" s="387"/>
      <c r="DI31" s="387"/>
      <c r="DJ31" s="25"/>
      <c r="DK31" s="25"/>
    </row>
    <row r="32" spans="1:116" ht="6.75" customHeight="1" thickBot="1">
      <c r="DA32" s="387"/>
      <c r="DB32" s="387"/>
      <c r="DC32" s="387"/>
      <c r="DD32" s="387"/>
      <c r="DE32" s="389"/>
      <c r="DF32" s="401"/>
      <c r="DG32" s="387"/>
      <c r="DH32" s="387"/>
      <c r="DI32" s="387"/>
      <c r="DJ32" s="25"/>
      <c r="DK32" s="25"/>
    </row>
    <row r="33" spans="1:115" ht="31.5" customHeight="1" thickBot="1">
      <c r="A33" s="755" t="s">
        <v>121</v>
      </c>
      <c r="B33" s="756"/>
      <c r="C33" s="756"/>
      <c r="D33" s="757"/>
      <c r="E33" s="758" t="s">
        <v>31</v>
      </c>
      <c r="F33" s="759"/>
      <c r="G33" s="759"/>
      <c r="H33" s="759"/>
      <c r="I33" s="759"/>
      <c r="J33" s="759"/>
      <c r="K33" s="759"/>
      <c r="L33" s="759"/>
      <c r="M33" s="759"/>
      <c r="N33" s="759"/>
      <c r="O33" s="759"/>
      <c r="P33" s="759"/>
      <c r="Q33" s="759"/>
      <c r="R33" s="759"/>
      <c r="S33" s="759"/>
      <c r="T33" s="759"/>
      <c r="U33" s="759"/>
      <c r="V33" s="759"/>
      <c r="W33" s="759"/>
      <c r="X33" s="759"/>
      <c r="Y33" s="759"/>
      <c r="Z33" s="759"/>
      <c r="AA33" s="760"/>
      <c r="AB33" s="761" t="s">
        <v>471</v>
      </c>
      <c r="AC33" s="756"/>
      <c r="AD33" s="756"/>
      <c r="AE33" s="756"/>
      <c r="AF33" s="757"/>
      <c r="AG33" s="779" t="s">
        <v>122</v>
      </c>
      <c r="AH33" s="756"/>
      <c r="AI33" s="756"/>
      <c r="AJ33" s="756"/>
      <c r="AK33" s="756"/>
      <c r="AL33" s="756"/>
      <c r="AM33" s="765"/>
      <c r="AN33" s="761" t="s">
        <v>548</v>
      </c>
      <c r="AO33" s="756"/>
      <c r="AP33" s="756"/>
      <c r="AQ33" s="756"/>
      <c r="AR33" s="756"/>
      <c r="AS33" s="756"/>
      <c r="AT33" s="756"/>
      <c r="AU33" s="765"/>
      <c r="DA33" s="387"/>
      <c r="DB33" s="387"/>
      <c r="DC33" s="387"/>
      <c r="DD33" s="387"/>
      <c r="DE33" s="389"/>
      <c r="DF33" s="401"/>
      <c r="DG33" s="387"/>
      <c r="DH33" s="387"/>
      <c r="DI33" s="387"/>
      <c r="DJ33" s="25"/>
      <c r="DK33" s="25"/>
    </row>
    <row r="34" spans="1:115">
      <c r="A34" s="742">
        <v>1</v>
      </c>
      <c r="B34" s="743"/>
      <c r="C34" s="743"/>
      <c r="D34" s="744"/>
      <c r="E34" s="742" t="str">
        <f>E20</f>
        <v>База в сборе (2420мм)</v>
      </c>
      <c r="F34" s="743"/>
      <c r="G34" s="743"/>
      <c r="H34" s="743"/>
      <c r="I34" s="743"/>
      <c r="J34" s="743"/>
      <c r="K34" s="743"/>
      <c r="L34" s="743"/>
      <c r="M34" s="743"/>
      <c r="N34" s="743"/>
      <c r="O34" s="743"/>
      <c r="P34" s="743"/>
      <c r="Q34" s="743"/>
      <c r="R34" s="743"/>
      <c r="S34" s="743"/>
      <c r="T34" s="743"/>
      <c r="U34" s="743"/>
      <c r="V34" s="743"/>
      <c r="W34" s="743"/>
      <c r="X34" s="743"/>
      <c r="Y34" s="743"/>
      <c r="Z34" s="743"/>
      <c r="AA34" s="777"/>
      <c r="AB34" s="748">
        <v>2</v>
      </c>
      <c r="AC34" s="743"/>
      <c r="AD34" s="743"/>
      <c r="AE34" s="743"/>
      <c r="AF34" s="744"/>
      <c r="AG34" s="749">
        <f>AG20</f>
        <v>4160</v>
      </c>
      <c r="AH34" s="750"/>
      <c r="AI34" s="750"/>
      <c r="AJ34" s="750"/>
      <c r="AK34" s="750"/>
      <c r="AL34" s="750"/>
      <c r="AM34" s="751"/>
      <c r="AN34" s="752">
        <f>AB34*AG34</f>
        <v>8320</v>
      </c>
      <c r="AO34" s="750"/>
      <c r="AP34" s="750"/>
      <c r="AQ34" s="750"/>
      <c r="AR34" s="750"/>
      <c r="AS34" s="750"/>
      <c r="AT34" s="750"/>
      <c r="AU34" s="751"/>
      <c r="DA34" s="387"/>
      <c r="DB34" s="387"/>
      <c r="DC34" s="387"/>
      <c r="DD34" s="387"/>
      <c r="DE34" s="389"/>
      <c r="DF34" s="401"/>
      <c r="DG34" s="387"/>
      <c r="DH34" s="387"/>
      <c r="DI34" s="387"/>
      <c r="DJ34" s="25"/>
      <c r="DK34" s="25"/>
    </row>
    <row r="35" spans="1:115">
      <c r="A35" s="722">
        <v>2</v>
      </c>
      <c r="B35" s="717"/>
      <c r="C35" s="717"/>
      <c r="D35" s="723"/>
      <c r="E35" s="722" t="str">
        <f t="shared" ref="E35:E42" si="1">E21</f>
        <v>Лестница секции (1160мм х 1214мм)</v>
      </c>
      <c r="F35" s="717"/>
      <c r="G35" s="717"/>
      <c r="H35" s="717"/>
      <c r="I35" s="717"/>
      <c r="J35" s="717"/>
      <c r="K35" s="717"/>
      <c r="L35" s="717"/>
      <c r="M35" s="717"/>
      <c r="N35" s="717"/>
      <c r="O35" s="717"/>
      <c r="P35" s="717"/>
      <c r="Q35" s="717"/>
      <c r="R35" s="717"/>
      <c r="S35" s="717"/>
      <c r="T35" s="717"/>
      <c r="U35" s="717"/>
      <c r="V35" s="717"/>
      <c r="W35" s="717"/>
      <c r="X35" s="717"/>
      <c r="Y35" s="717"/>
      <c r="Z35" s="717"/>
      <c r="AA35" s="773"/>
      <c r="AB35" s="726">
        <v>4</v>
      </c>
      <c r="AC35" s="717"/>
      <c r="AD35" s="717"/>
      <c r="AE35" s="717"/>
      <c r="AF35" s="723"/>
      <c r="AG35" s="727">
        <f t="shared" ref="AG35:AG39" si="2">AG21</f>
        <v>1300</v>
      </c>
      <c r="AH35" s="721"/>
      <c r="AI35" s="721"/>
      <c r="AJ35" s="721"/>
      <c r="AK35" s="721"/>
      <c r="AL35" s="721"/>
      <c r="AM35" s="728"/>
      <c r="AN35" s="729">
        <f t="shared" ref="AN35:AN42" si="3">AB35*AG35</f>
        <v>5200</v>
      </c>
      <c r="AO35" s="721"/>
      <c r="AP35" s="721"/>
      <c r="AQ35" s="721"/>
      <c r="AR35" s="721"/>
      <c r="AS35" s="721"/>
      <c r="AT35" s="721"/>
      <c r="AU35" s="728"/>
      <c r="DA35" s="387"/>
      <c r="DB35" s="387"/>
      <c r="DC35" s="387"/>
      <c r="DD35" s="387"/>
      <c r="DE35" s="389"/>
      <c r="DF35" s="401"/>
      <c r="DG35" s="387"/>
      <c r="DH35" s="387"/>
      <c r="DI35" s="387"/>
      <c r="DJ35" s="25"/>
      <c r="DK35" s="25"/>
    </row>
    <row r="36" spans="1:115">
      <c r="A36" s="722">
        <v>3</v>
      </c>
      <c r="B36" s="717"/>
      <c r="C36" s="717"/>
      <c r="D36" s="723"/>
      <c r="E36" s="722" t="str">
        <f t="shared" si="1"/>
        <v>Диагональ объемная (2305мм)</v>
      </c>
      <c r="F36" s="717"/>
      <c r="G36" s="717"/>
      <c r="H36" s="717"/>
      <c r="I36" s="717"/>
      <c r="J36" s="717"/>
      <c r="K36" s="717"/>
      <c r="L36" s="717"/>
      <c r="M36" s="717"/>
      <c r="N36" s="717"/>
      <c r="O36" s="717"/>
      <c r="P36" s="717"/>
      <c r="Q36" s="717"/>
      <c r="R36" s="717"/>
      <c r="S36" s="717"/>
      <c r="T36" s="717"/>
      <c r="U36" s="717"/>
      <c r="V36" s="717"/>
      <c r="W36" s="717"/>
      <c r="X36" s="717"/>
      <c r="Y36" s="717"/>
      <c r="Z36" s="717"/>
      <c r="AA36" s="773"/>
      <c r="AB36" s="726">
        <v>1</v>
      </c>
      <c r="AC36" s="717"/>
      <c r="AD36" s="717"/>
      <c r="AE36" s="717"/>
      <c r="AF36" s="723"/>
      <c r="AG36" s="727">
        <f t="shared" si="2"/>
        <v>630</v>
      </c>
      <c r="AH36" s="721"/>
      <c r="AI36" s="721"/>
      <c r="AJ36" s="721"/>
      <c r="AK36" s="721"/>
      <c r="AL36" s="721"/>
      <c r="AM36" s="728"/>
      <c r="AN36" s="729">
        <f t="shared" si="3"/>
        <v>630</v>
      </c>
      <c r="AO36" s="721"/>
      <c r="AP36" s="721"/>
      <c r="AQ36" s="721"/>
      <c r="AR36" s="721"/>
      <c r="AS36" s="721"/>
      <c r="AT36" s="721"/>
      <c r="AU36" s="728"/>
      <c r="DA36" s="387"/>
      <c r="DB36" s="387"/>
      <c r="DC36" s="387"/>
      <c r="DD36" s="387"/>
      <c r="DE36" s="389"/>
      <c r="DF36" s="401"/>
      <c r="DG36" s="387"/>
      <c r="DH36" s="387"/>
      <c r="DI36" s="387"/>
      <c r="DJ36" s="25"/>
      <c r="DK36" s="25"/>
    </row>
    <row r="37" spans="1:115">
      <c r="A37" s="722">
        <v>4</v>
      </c>
      <c r="B37" s="717"/>
      <c r="C37" s="717"/>
      <c r="D37" s="723"/>
      <c r="E37" s="722" t="str">
        <f t="shared" si="1"/>
        <v>Гантель (1975мм)</v>
      </c>
      <c r="F37" s="717"/>
      <c r="G37" s="717"/>
      <c r="H37" s="717"/>
      <c r="I37" s="717"/>
      <c r="J37" s="717"/>
      <c r="K37" s="717"/>
      <c r="L37" s="717"/>
      <c r="M37" s="717"/>
      <c r="N37" s="717"/>
      <c r="O37" s="717"/>
      <c r="P37" s="717"/>
      <c r="Q37" s="717"/>
      <c r="R37" s="717"/>
      <c r="S37" s="717"/>
      <c r="T37" s="717"/>
      <c r="U37" s="717"/>
      <c r="V37" s="717"/>
      <c r="W37" s="717"/>
      <c r="X37" s="717"/>
      <c r="Y37" s="717"/>
      <c r="Z37" s="717"/>
      <c r="AA37" s="773"/>
      <c r="AB37" s="726">
        <v>0</v>
      </c>
      <c r="AC37" s="717"/>
      <c r="AD37" s="717"/>
      <c r="AE37" s="717"/>
      <c r="AF37" s="723"/>
      <c r="AG37" s="727">
        <f t="shared" si="2"/>
        <v>860</v>
      </c>
      <c r="AH37" s="721"/>
      <c r="AI37" s="721"/>
      <c r="AJ37" s="721"/>
      <c r="AK37" s="721"/>
      <c r="AL37" s="721"/>
      <c r="AM37" s="728"/>
      <c r="AN37" s="729">
        <f t="shared" si="3"/>
        <v>0</v>
      </c>
      <c r="AO37" s="721"/>
      <c r="AP37" s="721"/>
      <c r="AQ37" s="721"/>
      <c r="AR37" s="721"/>
      <c r="AS37" s="721"/>
      <c r="AT37" s="721"/>
      <c r="AU37" s="728"/>
      <c r="DA37" s="387"/>
      <c r="DB37" s="387"/>
      <c r="DC37" s="387"/>
      <c r="DD37" s="387"/>
      <c r="DE37" s="389"/>
      <c r="DF37" s="401"/>
      <c r="DG37" s="387"/>
      <c r="DH37" s="387"/>
      <c r="DI37" s="387"/>
      <c r="DJ37" s="25"/>
      <c r="DK37" s="25"/>
    </row>
    <row r="38" spans="1:115">
      <c r="A38" s="722">
        <v>5</v>
      </c>
      <c r="B38" s="717"/>
      <c r="C38" s="717"/>
      <c r="D38" s="723"/>
      <c r="E38" s="722" t="str">
        <f t="shared" si="1"/>
        <v>Стяжка лестницы (840мм)</v>
      </c>
      <c r="F38" s="717"/>
      <c r="G38" s="717"/>
      <c r="H38" s="717"/>
      <c r="I38" s="717"/>
      <c r="J38" s="717"/>
      <c r="K38" s="717"/>
      <c r="L38" s="717"/>
      <c r="M38" s="717"/>
      <c r="N38" s="717"/>
      <c r="O38" s="717"/>
      <c r="P38" s="717"/>
      <c r="Q38" s="717"/>
      <c r="R38" s="717"/>
      <c r="S38" s="717"/>
      <c r="T38" s="717"/>
      <c r="U38" s="717"/>
      <c r="V38" s="717"/>
      <c r="W38" s="717"/>
      <c r="X38" s="717"/>
      <c r="Y38" s="717"/>
      <c r="Z38" s="717"/>
      <c r="AA38" s="773"/>
      <c r="AB38" s="726">
        <v>20</v>
      </c>
      <c r="AC38" s="717"/>
      <c r="AD38" s="717"/>
      <c r="AE38" s="717"/>
      <c r="AF38" s="723"/>
      <c r="AG38" s="727">
        <f t="shared" si="2"/>
        <v>140</v>
      </c>
      <c r="AH38" s="721"/>
      <c r="AI38" s="721"/>
      <c r="AJ38" s="721"/>
      <c r="AK38" s="721"/>
      <c r="AL38" s="721"/>
      <c r="AM38" s="728"/>
      <c r="AN38" s="729">
        <f t="shared" si="3"/>
        <v>2800</v>
      </c>
      <c r="AO38" s="721"/>
      <c r="AP38" s="721"/>
      <c r="AQ38" s="721"/>
      <c r="AR38" s="721"/>
      <c r="AS38" s="721"/>
      <c r="AT38" s="721"/>
      <c r="AU38" s="728"/>
      <c r="DA38" s="387"/>
      <c r="DB38" s="387"/>
      <c r="DC38" s="387"/>
      <c r="DD38" s="387"/>
      <c r="DE38" s="389"/>
      <c r="DF38" s="401"/>
      <c r="DG38" s="387"/>
      <c r="DH38" s="387"/>
      <c r="DI38" s="387"/>
      <c r="DJ38" s="25"/>
      <c r="DK38" s="25"/>
    </row>
    <row r="39" spans="1:115">
      <c r="A39" s="722">
        <v>6</v>
      </c>
      <c r="B39" s="717"/>
      <c r="C39" s="717"/>
      <c r="D39" s="723"/>
      <c r="E39" s="722" t="str">
        <f t="shared" si="1"/>
        <v>Стабилизатор в сборе (2400мм)</v>
      </c>
      <c r="F39" s="717"/>
      <c r="G39" s="717"/>
      <c r="H39" s="717"/>
      <c r="I39" s="717"/>
      <c r="J39" s="717"/>
      <c r="K39" s="717"/>
      <c r="L39" s="717"/>
      <c r="M39" s="717"/>
      <c r="N39" s="717"/>
      <c r="O39" s="717"/>
      <c r="P39" s="717"/>
      <c r="Q39" s="717"/>
      <c r="R39" s="717"/>
      <c r="S39" s="717"/>
      <c r="T39" s="717"/>
      <c r="U39" s="717"/>
      <c r="V39" s="717"/>
      <c r="W39" s="717"/>
      <c r="X39" s="717"/>
      <c r="Y39" s="717"/>
      <c r="Z39" s="717"/>
      <c r="AA39" s="773"/>
      <c r="AB39" s="726">
        <v>0</v>
      </c>
      <c r="AC39" s="717"/>
      <c r="AD39" s="717"/>
      <c r="AE39" s="717"/>
      <c r="AF39" s="723"/>
      <c r="AG39" s="727">
        <f t="shared" si="2"/>
        <v>860</v>
      </c>
      <c r="AH39" s="721"/>
      <c r="AI39" s="721"/>
      <c r="AJ39" s="721"/>
      <c r="AK39" s="721"/>
      <c r="AL39" s="721"/>
      <c r="AM39" s="728"/>
      <c r="AN39" s="729">
        <f t="shared" si="3"/>
        <v>0</v>
      </c>
      <c r="AO39" s="721"/>
      <c r="AP39" s="721"/>
      <c r="AQ39" s="721"/>
      <c r="AR39" s="721"/>
      <c r="AS39" s="721"/>
      <c r="AT39" s="721"/>
      <c r="AU39" s="728"/>
      <c r="DA39" s="387"/>
      <c r="DB39" s="387"/>
      <c r="DC39" s="387"/>
      <c r="DD39" s="387"/>
      <c r="DE39" s="389"/>
      <c r="DF39" s="401"/>
      <c r="DG39" s="387"/>
      <c r="DH39" s="387"/>
      <c r="DI39" s="387"/>
      <c r="DJ39" s="25"/>
      <c r="DK39" s="25"/>
    </row>
    <row r="40" spans="1:115">
      <c r="A40" s="722">
        <v>7</v>
      </c>
      <c r="B40" s="717"/>
      <c r="C40" s="717"/>
      <c r="D40" s="723"/>
      <c r="E40" s="722" t="str">
        <f t="shared" si="1"/>
        <v>Гантель ограждения (1965мм)</v>
      </c>
      <c r="F40" s="717"/>
      <c r="G40" s="717"/>
      <c r="H40" s="717"/>
      <c r="I40" s="717"/>
      <c r="J40" s="717"/>
      <c r="K40" s="717"/>
      <c r="L40" s="717"/>
      <c r="M40" s="717"/>
      <c r="N40" s="717"/>
      <c r="O40" s="717"/>
      <c r="P40" s="717"/>
      <c r="Q40" s="717"/>
      <c r="R40" s="717"/>
      <c r="S40" s="717"/>
      <c r="T40" s="717"/>
      <c r="U40" s="717"/>
      <c r="V40" s="717"/>
      <c r="W40" s="717"/>
      <c r="X40" s="717"/>
      <c r="Y40" s="717"/>
      <c r="Z40" s="717"/>
      <c r="AA40" s="773"/>
      <c r="AB40" s="726">
        <v>2</v>
      </c>
      <c r="AC40" s="717"/>
      <c r="AD40" s="717"/>
      <c r="AE40" s="717"/>
      <c r="AF40" s="723"/>
      <c r="AG40" s="774">
        <f>AG26</f>
        <v>860</v>
      </c>
      <c r="AH40" s="717"/>
      <c r="AI40" s="717"/>
      <c r="AJ40" s="717"/>
      <c r="AK40" s="717"/>
      <c r="AL40" s="717"/>
      <c r="AM40" s="773"/>
      <c r="AN40" s="726">
        <f t="shared" si="3"/>
        <v>1720</v>
      </c>
      <c r="AO40" s="717"/>
      <c r="AP40" s="717"/>
      <c r="AQ40" s="717"/>
      <c r="AR40" s="717"/>
      <c r="AS40" s="717"/>
      <c r="AT40" s="717"/>
      <c r="AU40" s="773"/>
      <c r="DA40" s="387"/>
      <c r="DB40" s="387"/>
      <c r="DC40" s="387"/>
      <c r="DD40" s="387"/>
      <c r="DE40" s="389"/>
      <c r="DF40" s="401"/>
      <c r="DG40" s="387"/>
      <c r="DH40" s="387"/>
      <c r="DI40" s="387"/>
      <c r="DJ40" s="25"/>
      <c r="DK40" s="25"/>
    </row>
    <row r="41" spans="1:115">
      <c r="A41" s="722">
        <v>8</v>
      </c>
      <c r="B41" s="717"/>
      <c r="C41" s="717"/>
      <c r="D41" s="723"/>
      <c r="E41" s="722" t="str">
        <f t="shared" si="1"/>
        <v>Настил без люка (1995мм х 525мм)</v>
      </c>
      <c r="F41" s="717"/>
      <c r="G41" s="717"/>
      <c r="H41" s="717"/>
      <c r="I41" s="717"/>
      <c r="J41" s="717"/>
      <c r="K41" s="717"/>
      <c r="L41" s="717"/>
      <c r="M41" s="717"/>
      <c r="N41" s="717"/>
      <c r="O41" s="717"/>
      <c r="P41" s="717"/>
      <c r="Q41" s="717"/>
      <c r="R41" s="717"/>
      <c r="S41" s="717"/>
      <c r="T41" s="717"/>
      <c r="U41" s="717"/>
      <c r="V41" s="717"/>
      <c r="W41" s="717"/>
      <c r="X41" s="717"/>
      <c r="Y41" s="717"/>
      <c r="Z41" s="717"/>
      <c r="AA41" s="773"/>
      <c r="AB41" s="726">
        <v>1</v>
      </c>
      <c r="AC41" s="717"/>
      <c r="AD41" s="717"/>
      <c r="AE41" s="717"/>
      <c r="AF41" s="723"/>
      <c r="AG41" s="774">
        <f>AG27</f>
        <v>4240</v>
      </c>
      <c r="AH41" s="717"/>
      <c r="AI41" s="717"/>
      <c r="AJ41" s="717"/>
      <c r="AK41" s="717"/>
      <c r="AL41" s="717"/>
      <c r="AM41" s="773"/>
      <c r="AN41" s="726">
        <f t="shared" si="3"/>
        <v>4240</v>
      </c>
      <c r="AO41" s="717"/>
      <c r="AP41" s="717"/>
      <c r="AQ41" s="717"/>
      <c r="AR41" s="717"/>
      <c r="AS41" s="717"/>
      <c r="AT41" s="717"/>
      <c r="AU41" s="773"/>
      <c r="DA41" s="387"/>
      <c r="DB41" s="387"/>
      <c r="DC41" s="387"/>
      <c r="DD41" s="387"/>
      <c r="DE41" s="389"/>
      <c r="DF41" s="401"/>
      <c r="DG41" s="387"/>
      <c r="DH41" s="387"/>
      <c r="DI41" s="387"/>
      <c r="DJ41" s="25"/>
      <c r="DK41" s="25"/>
    </row>
    <row r="42" spans="1:115" ht="15.75" thickBot="1">
      <c r="A42" s="730">
        <v>8</v>
      </c>
      <c r="B42" s="731"/>
      <c r="C42" s="731"/>
      <c r="D42" s="732"/>
      <c r="E42" s="730" t="str">
        <f t="shared" si="1"/>
        <v>Настил с люком (1995мм х 525мм)</v>
      </c>
      <c r="F42" s="731"/>
      <c r="G42" s="731"/>
      <c r="H42" s="731"/>
      <c r="I42" s="731"/>
      <c r="J42" s="731"/>
      <c r="K42" s="731"/>
      <c r="L42" s="731"/>
      <c r="M42" s="731"/>
      <c r="N42" s="731"/>
      <c r="O42" s="731"/>
      <c r="P42" s="731"/>
      <c r="Q42" s="731"/>
      <c r="R42" s="731"/>
      <c r="S42" s="731"/>
      <c r="T42" s="731"/>
      <c r="U42" s="731"/>
      <c r="V42" s="731"/>
      <c r="W42" s="731"/>
      <c r="X42" s="731"/>
      <c r="Y42" s="731"/>
      <c r="Z42" s="731"/>
      <c r="AA42" s="775"/>
      <c r="AB42" s="736">
        <v>1</v>
      </c>
      <c r="AC42" s="731"/>
      <c r="AD42" s="731"/>
      <c r="AE42" s="731"/>
      <c r="AF42" s="732"/>
      <c r="AG42" s="776">
        <f>AG28</f>
        <v>4410</v>
      </c>
      <c r="AH42" s="731"/>
      <c r="AI42" s="731"/>
      <c r="AJ42" s="731"/>
      <c r="AK42" s="731"/>
      <c r="AL42" s="731"/>
      <c r="AM42" s="775"/>
      <c r="AN42" s="736">
        <f t="shared" si="3"/>
        <v>4410</v>
      </c>
      <c r="AO42" s="731"/>
      <c r="AP42" s="731"/>
      <c r="AQ42" s="731"/>
      <c r="AR42" s="731"/>
      <c r="AS42" s="731"/>
      <c r="AT42" s="731"/>
      <c r="AU42" s="775"/>
      <c r="DA42" s="387"/>
      <c r="DB42" s="387"/>
      <c r="DC42" s="387"/>
      <c r="DD42" s="387"/>
      <c r="DE42" s="389"/>
      <c r="DF42" s="401"/>
      <c r="DG42" s="387"/>
      <c r="DH42" s="387"/>
      <c r="DI42" s="387"/>
      <c r="DJ42" s="25"/>
      <c r="DK42" s="25"/>
    </row>
    <row r="43" spans="1:115">
      <c r="A43" s="766"/>
      <c r="B43" s="766"/>
      <c r="C43" s="766"/>
      <c r="D43" s="766"/>
      <c r="E43" s="766"/>
      <c r="F43" s="766"/>
      <c r="G43" s="766"/>
      <c r="H43" s="766"/>
      <c r="I43" s="766"/>
      <c r="J43" s="766"/>
      <c r="K43" s="766"/>
      <c r="L43" s="766"/>
      <c r="M43" s="766"/>
      <c r="N43" s="766"/>
      <c r="O43" s="766"/>
      <c r="P43" s="766"/>
      <c r="Q43" s="766"/>
      <c r="R43" s="766"/>
      <c r="S43" s="766"/>
      <c r="T43" s="766"/>
      <c r="U43" s="766"/>
      <c r="V43" s="766"/>
      <c r="W43" s="766"/>
      <c r="X43" s="766"/>
      <c r="Y43" s="766"/>
      <c r="Z43" s="766"/>
      <c r="AA43" s="766"/>
      <c r="AB43" s="767"/>
      <c r="AC43" s="766"/>
      <c r="AD43" s="766"/>
      <c r="AE43" s="766"/>
      <c r="AF43" s="766"/>
      <c r="AG43" s="767"/>
      <c r="AH43" s="766"/>
      <c r="AI43" s="766"/>
      <c r="AJ43" s="766"/>
      <c r="AK43" s="766"/>
      <c r="AL43" s="766"/>
      <c r="AM43" s="766"/>
      <c r="AN43" s="802">
        <f>SUM(AN34:AU39)</f>
        <v>16950</v>
      </c>
      <c r="AO43" s="803"/>
      <c r="AP43" s="803"/>
      <c r="AQ43" s="803"/>
      <c r="AR43" s="803"/>
      <c r="AS43" s="803"/>
      <c r="AT43" s="803"/>
      <c r="AU43" s="803"/>
      <c r="DA43" s="387"/>
      <c r="DB43" s="387"/>
      <c r="DC43" s="387"/>
      <c r="DD43" s="387"/>
      <c r="DE43" s="389"/>
      <c r="DF43" s="401"/>
      <c r="DG43" s="387"/>
      <c r="DH43" s="387"/>
      <c r="DI43" s="387"/>
      <c r="DJ43" s="25"/>
      <c r="DK43" s="25"/>
    </row>
    <row r="44" spans="1:115" ht="8.25" customHeight="1">
      <c r="DA44" s="387"/>
      <c r="DB44" s="402"/>
      <c r="DC44" s="387"/>
      <c r="DD44" s="387"/>
      <c r="DE44" s="403"/>
      <c r="DF44" s="401"/>
      <c r="DG44" s="387"/>
      <c r="DH44" s="387"/>
      <c r="DI44" s="387"/>
      <c r="DJ44" s="25"/>
      <c r="DK44" s="25"/>
    </row>
    <row r="45" spans="1:115" ht="29.25" customHeight="1">
      <c r="A45" s="710" t="str">
        <f ca="1">CONCATENATE("Остаток не возвращенного оборудования с ценами в соответствии с приложением №1 к Договору аренды оборудования №",ДляДоговора!B2," от ",ДляДоговора!B3)</f>
        <v>Остаток не возвращенного оборудования с ценами в соответствии с приложением №1 к Договору аренды оборудования №30/03-А(23) от 30 марта 2023г.</v>
      </c>
      <c r="B45" s="710"/>
      <c r="C45" s="710"/>
      <c r="D45" s="710"/>
      <c r="E45" s="710"/>
      <c r="F45" s="710"/>
      <c r="G45" s="710"/>
      <c r="H45" s="710"/>
      <c r="I45" s="710"/>
      <c r="J45" s="710"/>
      <c r="K45" s="710"/>
      <c r="L45" s="710"/>
      <c r="M45" s="710"/>
      <c r="N45" s="710"/>
      <c r="O45" s="710"/>
      <c r="P45" s="710"/>
      <c r="Q45" s="710"/>
      <c r="R45" s="710"/>
      <c r="S45" s="710"/>
      <c r="T45" s="710"/>
      <c r="U45" s="710"/>
      <c r="V45" s="710"/>
      <c r="W45" s="710"/>
      <c r="X45" s="710"/>
      <c r="Y45" s="710"/>
      <c r="Z45" s="710"/>
      <c r="AA45" s="710"/>
      <c r="AB45" s="710"/>
      <c r="AC45" s="710"/>
      <c r="AD45" s="710"/>
      <c r="AE45" s="710"/>
      <c r="AF45" s="710"/>
      <c r="AG45" s="710"/>
      <c r="AH45" s="710"/>
      <c r="AI45" s="710"/>
      <c r="AJ45" s="710"/>
      <c r="AK45" s="710"/>
      <c r="AL45" s="710"/>
      <c r="AM45" s="710"/>
      <c r="AN45" s="710"/>
      <c r="AO45" s="710"/>
      <c r="AP45" s="710"/>
      <c r="AQ45" s="710"/>
      <c r="AR45" s="710"/>
      <c r="AS45" s="710"/>
      <c r="AT45" s="710"/>
      <c r="AU45" s="710"/>
      <c r="DA45" s="387"/>
      <c r="DB45" s="387"/>
      <c r="DC45" s="387"/>
      <c r="DD45" s="387"/>
      <c r="DE45" s="389"/>
      <c r="DF45" s="401"/>
      <c r="DG45" s="387"/>
      <c r="DH45" s="387"/>
      <c r="DI45" s="387"/>
      <c r="DJ45" s="25"/>
      <c r="DK45" s="25"/>
    </row>
    <row r="46" spans="1:115" ht="7.5" customHeight="1" thickBot="1">
      <c r="DA46" s="387"/>
      <c r="DB46" s="402"/>
      <c r="DC46" s="387"/>
      <c r="DD46" s="387"/>
      <c r="DE46" s="403"/>
      <c r="DF46" s="401"/>
      <c r="DG46" s="387"/>
      <c r="DH46" s="387"/>
      <c r="DI46" s="387"/>
      <c r="DJ46" s="25"/>
      <c r="DK46" s="25"/>
    </row>
    <row r="47" spans="1:115" ht="31.5" customHeight="1" thickBot="1">
      <c r="A47" s="755" t="s">
        <v>121</v>
      </c>
      <c r="B47" s="756"/>
      <c r="C47" s="756"/>
      <c r="D47" s="757"/>
      <c r="E47" s="758" t="s">
        <v>31</v>
      </c>
      <c r="F47" s="759"/>
      <c r="G47" s="759"/>
      <c r="H47" s="759"/>
      <c r="I47" s="759"/>
      <c r="J47" s="759"/>
      <c r="K47" s="759"/>
      <c r="L47" s="759"/>
      <c r="M47" s="759"/>
      <c r="N47" s="759"/>
      <c r="O47" s="759"/>
      <c r="P47" s="759"/>
      <c r="Q47" s="759"/>
      <c r="R47" s="759"/>
      <c r="S47" s="759"/>
      <c r="T47" s="759"/>
      <c r="U47" s="759"/>
      <c r="V47" s="759"/>
      <c r="W47" s="759"/>
      <c r="X47" s="759"/>
      <c r="Y47" s="759"/>
      <c r="Z47" s="759"/>
      <c r="AA47" s="760"/>
      <c r="AB47" s="761" t="s">
        <v>471</v>
      </c>
      <c r="AC47" s="756"/>
      <c r="AD47" s="756"/>
      <c r="AE47" s="756"/>
      <c r="AF47" s="757"/>
      <c r="AG47" s="779" t="s">
        <v>122</v>
      </c>
      <c r="AH47" s="756"/>
      <c r="AI47" s="756"/>
      <c r="AJ47" s="756"/>
      <c r="AK47" s="756"/>
      <c r="AL47" s="756"/>
      <c r="AM47" s="765"/>
      <c r="AN47" s="761" t="s">
        <v>548</v>
      </c>
      <c r="AO47" s="756"/>
      <c r="AP47" s="756"/>
      <c r="AQ47" s="756"/>
      <c r="AR47" s="756"/>
      <c r="AS47" s="756"/>
      <c r="AT47" s="756"/>
      <c r="AU47" s="765"/>
      <c r="DA47" s="387"/>
      <c r="DB47" s="387"/>
      <c r="DC47" s="387"/>
      <c r="DD47" s="387"/>
      <c r="DE47" s="389"/>
      <c r="DF47" s="401"/>
      <c r="DG47" s="387"/>
      <c r="DH47" s="387"/>
      <c r="DI47" s="387"/>
      <c r="DJ47" s="25"/>
      <c r="DK47" s="25"/>
    </row>
    <row r="48" spans="1:115">
      <c r="A48" s="742">
        <v>1</v>
      </c>
      <c r="B48" s="743"/>
      <c r="C48" s="743"/>
      <c r="D48" s="744"/>
      <c r="E48" s="742" t="str">
        <f>E20</f>
        <v>База в сборе (2420мм)</v>
      </c>
      <c r="F48" s="743"/>
      <c r="G48" s="743"/>
      <c r="H48" s="743"/>
      <c r="I48" s="743"/>
      <c r="J48" s="743"/>
      <c r="K48" s="743"/>
      <c r="L48" s="743"/>
      <c r="M48" s="743"/>
      <c r="N48" s="743"/>
      <c r="O48" s="743"/>
      <c r="P48" s="743"/>
      <c r="Q48" s="743"/>
      <c r="R48" s="743"/>
      <c r="S48" s="743"/>
      <c r="T48" s="743"/>
      <c r="U48" s="743"/>
      <c r="V48" s="743"/>
      <c r="W48" s="743"/>
      <c r="X48" s="743"/>
      <c r="Y48" s="743"/>
      <c r="Z48" s="743"/>
      <c r="AA48" s="777"/>
      <c r="AB48" s="748">
        <f>AB20-AB34</f>
        <v>0</v>
      </c>
      <c r="AC48" s="743"/>
      <c r="AD48" s="743"/>
      <c r="AE48" s="743"/>
      <c r="AF48" s="744"/>
      <c r="AG48" s="778">
        <f>AG20</f>
        <v>4160</v>
      </c>
      <c r="AH48" s="743"/>
      <c r="AI48" s="743"/>
      <c r="AJ48" s="743"/>
      <c r="AK48" s="743"/>
      <c r="AL48" s="743"/>
      <c r="AM48" s="777"/>
      <c r="AN48" s="748">
        <f>AB48*AG48</f>
        <v>0</v>
      </c>
      <c r="AO48" s="743"/>
      <c r="AP48" s="743"/>
      <c r="AQ48" s="743"/>
      <c r="AR48" s="743"/>
      <c r="AS48" s="743"/>
      <c r="AT48" s="743"/>
      <c r="AU48" s="777"/>
      <c r="DA48" s="387"/>
      <c r="DB48" s="402"/>
      <c r="DC48" s="387"/>
      <c r="DD48" s="387"/>
      <c r="DE48" s="403"/>
      <c r="DF48" s="401"/>
      <c r="DG48" s="387"/>
      <c r="DH48" s="387"/>
      <c r="DI48" s="387"/>
      <c r="DJ48" s="25"/>
      <c r="DK48" s="25"/>
    </row>
    <row r="49" spans="1:115">
      <c r="A49" s="722">
        <v>2</v>
      </c>
      <c r="B49" s="717"/>
      <c r="C49" s="717"/>
      <c r="D49" s="723"/>
      <c r="E49" s="722" t="str">
        <f t="shared" ref="E49:E56" si="4">E21</f>
        <v>Лестница секции (1160мм х 1214мм)</v>
      </c>
      <c r="F49" s="717"/>
      <c r="G49" s="717"/>
      <c r="H49" s="717"/>
      <c r="I49" s="717"/>
      <c r="J49" s="717"/>
      <c r="K49" s="717"/>
      <c r="L49" s="717"/>
      <c r="M49" s="717"/>
      <c r="N49" s="717"/>
      <c r="O49" s="717"/>
      <c r="P49" s="717"/>
      <c r="Q49" s="717"/>
      <c r="R49" s="717"/>
      <c r="S49" s="717"/>
      <c r="T49" s="717"/>
      <c r="U49" s="717"/>
      <c r="V49" s="717"/>
      <c r="W49" s="717"/>
      <c r="X49" s="717"/>
      <c r="Y49" s="717"/>
      <c r="Z49" s="717"/>
      <c r="AA49" s="773"/>
      <c r="AB49" s="726">
        <f t="shared" ref="AB49:AB56" si="5">AB21-AB35</f>
        <v>2</v>
      </c>
      <c r="AC49" s="717"/>
      <c r="AD49" s="717"/>
      <c r="AE49" s="717"/>
      <c r="AF49" s="723"/>
      <c r="AG49" s="774">
        <f t="shared" ref="AG49:AG56" si="6">AG21</f>
        <v>1300</v>
      </c>
      <c r="AH49" s="717"/>
      <c r="AI49" s="717"/>
      <c r="AJ49" s="717"/>
      <c r="AK49" s="717"/>
      <c r="AL49" s="717"/>
      <c r="AM49" s="773"/>
      <c r="AN49" s="726">
        <f t="shared" ref="AN49:AN56" si="7">AB49*AG49</f>
        <v>2600</v>
      </c>
      <c r="AO49" s="717"/>
      <c r="AP49" s="717"/>
      <c r="AQ49" s="717"/>
      <c r="AR49" s="717"/>
      <c r="AS49" s="717"/>
      <c r="AT49" s="717"/>
      <c r="AU49" s="773"/>
      <c r="DA49" s="387"/>
      <c r="DB49" s="387"/>
      <c r="DC49" s="387"/>
      <c r="DD49" s="387"/>
      <c r="DE49" s="389"/>
      <c r="DF49" s="401"/>
      <c r="DG49" s="387"/>
      <c r="DH49" s="387"/>
      <c r="DI49" s="387"/>
      <c r="DJ49" s="25"/>
      <c r="DK49" s="25"/>
    </row>
    <row r="50" spans="1:115">
      <c r="A50" s="722">
        <v>3</v>
      </c>
      <c r="B50" s="717"/>
      <c r="C50" s="717"/>
      <c r="D50" s="723"/>
      <c r="E50" s="722" t="str">
        <f t="shared" si="4"/>
        <v>Диагональ объемная (2305мм)</v>
      </c>
      <c r="F50" s="717"/>
      <c r="G50" s="717"/>
      <c r="H50" s="717"/>
      <c r="I50" s="717"/>
      <c r="J50" s="717"/>
      <c r="K50" s="717"/>
      <c r="L50" s="717"/>
      <c r="M50" s="717"/>
      <c r="N50" s="717"/>
      <c r="O50" s="717"/>
      <c r="P50" s="717"/>
      <c r="Q50" s="717"/>
      <c r="R50" s="717"/>
      <c r="S50" s="717"/>
      <c r="T50" s="717"/>
      <c r="U50" s="717"/>
      <c r="V50" s="717"/>
      <c r="W50" s="717"/>
      <c r="X50" s="717"/>
      <c r="Y50" s="717"/>
      <c r="Z50" s="717"/>
      <c r="AA50" s="773"/>
      <c r="AB50" s="726">
        <f t="shared" si="5"/>
        <v>0</v>
      </c>
      <c r="AC50" s="717"/>
      <c r="AD50" s="717"/>
      <c r="AE50" s="717"/>
      <c r="AF50" s="723"/>
      <c r="AG50" s="774">
        <f t="shared" si="6"/>
        <v>630</v>
      </c>
      <c r="AH50" s="717"/>
      <c r="AI50" s="717"/>
      <c r="AJ50" s="717"/>
      <c r="AK50" s="717"/>
      <c r="AL50" s="717"/>
      <c r="AM50" s="773"/>
      <c r="AN50" s="726">
        <f t="shared" si="7"/>
        <v>0</v>
      </c>
      <c r="AO50" s="717"/>
      <c r="AP50" s="717"/>
      <c r="AQ50" s="717"/>
      <c r="AR50" s="717"/>
      <c r="AS50" s="717"/>
      <c r="AT50" s="717"/>
      <c r="AU50" s="773"/>
      <c r="DA50" s="387"/>
      <c r="DB50" s="387"/>
      <c r="DC50" s="387"/>
      <c r="DD50" s="387"/>
      <c r="DE50" s="389"/>
      <c r="DF50" s="401"/>
      <c r="DG50" s="387"/>
      <c r="DH50" s="387"/>
      <c r="DI50" s="387"/>
      <c r="DJ50" s="25"/>
      <c r="DK50" s="25"/>
    </row>
    <row r="51" spans="1:115">
      <c r="A51" s="722">
        <v>4</v>
      </c>
      <c r="B51" s="717"/>
      <c r="C51" s="717"/>
      <c r="D51" s="723"/>
      <c r="E51" s="722" t="str">
        <f t="shared" si="4"/>
        <v>Гантель (1975мм)</v>
      </c>
      <c r="F51" s="717"/>
      <c r="G51" s="717"/>
      <c r="H51" s="717"/>
      <c r="I51" s="717"/>
      <c r="J51" s="717"/>
      <c r="K51" s="717"/>
      <c r="L51" s="717"/>
      <c r="M51" s="717"/>
      <c r="N51" s="717"/>
      <c r="O51" s="717"/>
      <c r="P51" s="717"/>
      <c r="Q51" s="717"/>
      <c r="R51" s="717"/>
      <c r="S51" s="717"/>
      <c r="T51" s="717"/>
      <c r="U51" s="717"/>
      <c r="V51" s="717"/>
      <c r="W51" s="717"/>
      <c r="X51" s="717"/>
      <c r="Y51" s="717"/>
      <c r="Z51" s="717"/>
      <c r="AA51" s="773"/>
      <c r="AB51" s="726">
        <f t="shared" si="5"/>
        <v>4</v>
      </c>
      <c r="AC51" s="717"/>
      <c r="AD51" s="717"/>
      <c r="AE51" s="717"/>
      <c r="AF51" s="723"/>
      <c r="AG51" s="774">
        <f t="shared" si="6"/>
        <v>860</v>
      </c>
      <c r="AH51" s="717"/>
      <c r="AI51" s="717"/>
      <c r="AJ51" s="717"/>
      <c r="AK51" s="717"/>
      <c r="AL51" s="717"/>
      <c r="AM51" s="773"/>
      <c r="AN51" s="726">
        <f t="shared" si="7"/>
        <v>3440</v>
      </c>
      <c r="AO51" s="717"/>
      <c r="AP51" s="717"/>
      <c r="AQ51" s="717"/>
      <c r="AR51" s="717"/>
      <c r="AS51" s="717"/>
      <c r="AT51" s="717"/>
      <c r="AU51" s="773"/>
      <c r="DA51" s="387"/>
      <c r="DB51" s="387"/>
      <c r="DC51" s="387"/>
      <c r="DD51" s="387"/>
      <c r="DE51" s="389"/>
      <c r="DF51" s="390"/>
      <c r="DG51" s="387"/>
      <c r="DH51" s="387"/>
      <c r="DI51" s="387"/>
      <c r="DJ51" s="25"/>
      <c r="DK51" s="25"/>
    </row>
    <row r="52" spans="1:115">
      <c r="A52" s="722">
        <v>5</v>
      </c>
      <c r="B52" s="717"/>
      <c r="C52" s="717"/>
      <c r="D52" s="723"/>
      <c r="E52" s="722" t="str">
        <f t="shared" si="4"/>
        <v>Стяжка лестницы (840мм)</v>
      </c>
      <c r="F52" s="717"/>
      <c r="G52" s="717"/>
      <c r="H52" s="717"/>
      <c r="I52" s="717"/>
      <c r="J52" s="717"/>
      <c r="K52" s="717"/>
      <c r="L52" s="717"/>
      <c r="M52" s="717"/>
      <c r="N52" s="717"/>
      <c r="O52" s="717"/>
      <c r="P52" s="717"/>
      <c r="Q52" s="717"/>
      <c r="R52" s="717"/>
      <c r="S52" s="717"/>
      <c r="T52" s="717"/>
      <c r="U52" s="717"/>
      <c r="V52" s="717"/>
      <c r="W52" s="717"/>
      <c r="X52" s="717"/>
      <c r="Y52" s="717"/>
      <c r="Z52" s="717"/>
      <c r="AA52" s="773"/>
      <c r="AB52" s="726">
        <f t="shared" si="5"/>
        <v>4</v>
      </c>
      <c r="AC52" s="717"/>
      <c r="AD52" s="717"/>
      <c r="AE52" s="717"/>
      <c r="AF52" s="723"/>
      <c r="AG52" s="774">
        <f t="shared" si="6"/>
        <v>140</v>
      </c>
      <c r="AH52" s="717"/>
      <c r="AI52" s="717"/>
      <c r="AJ52" s="717"/>
      <c r="AK52" s="717"/>
      <c r="AL52" s="717"/>
      <c r="AM52" s="773"/>
      <c r="AN52" s="726">
        <f t="shared" si="7"/>
        <v>560</v>
      </c>
      <c r="AO52" s="717"/>
      <c r="AP52" s="717"/>
      <c r="AQ52" s="717"/>
      <c r="AR52" s="717"/>
      <c r="AS52" s="717"/>
      <c r="AT52" s="717"/>
      <c r="AU52" s="773"/>
      <c r="DA52" s="387"/>
      <c r="DB52" s="387"/>
      <c r="DC52" s="387"/>
      <c r="DD52" s="387"/>
      <c r="DE52" s="389"/>
      <c r="DF52" s="390"/>
      <c r="DG52" s="387"/>
      <c r="DH52" s="387"/>
      <c r="DI52" s="387"/>
      <c r="DJ52" s="25"/>
      <c r="DK52" s="25"/>
    </row>
    <row r="53" spans="1:115">
      <c r="A53" s="722">
        <v>6</v>
      </c>
      <c r="B53" s="717"/>
      <c r="C53" s="717"/>
      <c r="D53" s="723"/>
      <c r="E53" s="722" t="str">
        <f t="shared" si="4"/>
        <v>Стабилизатор в сборе (2400мм)</v>
      </c>
      <c r="F53" s="717"/>
      <c r="G53" s="717"/>
      <c r="H53" s="717"/>
      <c r="I53" s="717"/>
      <c r="J53" s="717"/>
      <c r="K53" s="717"/>
      <c r="L53" s="717"/>
      <c r="M53" s="717"/>
      <c r="N53" s="717"/>
      <c r="O53" s="717"/>
      <c r="P53" s="717"/>
      <c r="Q53" s="717"/>
      <c r="R53" s="717"/>
      <c r="S53" s="717"/>
      <c r="T53" s="717"/>
      <c r="U53" s="717"/>
      <c r="V53" s="717"/>
      <c r="W53" s="717"/>
      <c r="X53" s="717"/>
      <c r="Y53" s="717"/>
      <c r="Z53" s="717"/>
      <c r="AA53" s="773"/>
      <c r="AB53" s="726">
        <f t="shared" si="5"/>
        <v>0</v>
      </c>
      <c r="AC53" s="717"/>
      <c r="AD53" s="717"/>
      <c r="AE53" s="717"/>
      <c r="AF53" s="723"/>
      <c r="AG53" s="774">
        <f t="shared" si="6"/>
        <v>860</v>
      </c>
      <c r="AH53" s="717"/>
      <c r="AI53" s="717"/>
      <c r="AJ53" s="717"/>
      <c r="AK53" s="717"/>
      <c r="AL53" s="717"/>
      <c r="AM53" s="773"/>
      <c r="AN53" s="726">
        <f t="shared" si="7"/>
        <v>0</v>
      </c>
      <c r="AO53" s="717"/>
      <c r="AP53" s="717"/>
      <c r="AQ53" s="717"/>
      <c r="AR53" s="717"/>
      <c r="AS53" s="717"/>
      <c r="AT53" s="717"/>
      <c r="AU53" s="773"/>
      <c r="DA53" s="387"/>
      <c r="DB53" s="387"/>
      <c r="DC53" s="387"/>
      <c r="DD53" s="387"/>
      <c r="DE53" s="389"/>
      <c r="DF53" s="390"/>
      <c r="DG53" s="387"/>
      <c r="DH53" s="387"/>
      <c r="DI53" s="387"/>
      <c r="DJ53" s="25"/>
      <c r="DK53" s="25"/>
    </row>
    <row r="54" spans="1:115">
      <c r="A54" s="722">
        <v>7</v>
      </c>
      <c r="B54" s="717"/>
      <c r="C54" s="717"/>
      <c r="D54" s="723"/>
      <c r="E54" s="722" t="str">
        <f t="shared" si="4"/>
        <v>Гантель ограждения (1965мм)</v>
      </c>
      <c r="F54" s="717"/>
      <c r="G54" s="717"/>
      <c r="H54" s="717"/>
      <c r="I54" s="717"/>
      <c r="J54" s="717"/>
      <c r="K54" s="717"/>
      <c r="L54" s="717"/>
      <c r="M54" s="717"/>
      <c r="N54" s="717"/>
      <c r="O54" s="717"/>
      <c r="P54" s="717"/>
      <c r="Q54" s="717"/>
      <c r="R54" s="717"/>
      <c r="S54" s="717"/>
      <c r="T54" s="717"/>
      <c r="U54" s="717"/>
      <c r="V54" s="717"/>
      <c r="W54" s="717"/>
      <c r="X54" s="717"/>
      <c r="Y54" s="717"/>
      <c r="Z54" s="717"/>
      <c r="AA54" s="773"/>
      <c r="AB54" s="726">
        <f t="shared" si="5"/>
        <v>0</v>
      </c>
      <c r="AC54" s="717"/>
      <c r="AD54" s="717"/>
      <c r="AE54" s="717"/>
      <c r="AF54" s="723"/>
      <c r="AG54" s="774">
        <f t="shared" si="6"/>
        <v>860</v>
      </c>
      <c r="AH54" s="717"/>
      <c r="AI54" s="717"/>
      <c r="AJ54" s="717"/>
      <c r="AK54" s="717"/>
      <c r="AL54" s="717"/>
      <c r="AM54" s="773"/>
      <c r="AN54" s="726">
        <f t="shared" si="7"/>
        <v>0</v>
      </c>
      <c r="AO54" s="717"/>
      <c r="AP54" s="717"/>
      <c r="AQ54" s="717"/>
      <c r="AR54" s="717"/>
      <c r="AS54" s="717"/>
      <c r="AT54" s="717"/>
      <c r="AU54" s="773"/>
      <c r="DA54" s="387"/>
      <c r="DB54" s="387"/>
      <c r="DC54" s="387"/>
      <c r="DD54" s="387"/>
      <c r="DE54" s="389"/>
      <c r="DF54" s="390"/>
      <c r="DG54" s="387"/>
      <c r="DH54" s="387"/>
      <c r="DI54" s="387"/>
      <c r="DJ54" s="25"/>
      <c r="DK54" s="25"/>
    </row>
    <row r="55" spans="1:115">
      <c r="A55" s="722">
        <v>8</v>
      </c>
      <c r="B55" s="717"/>
      <c r="C55" s="717"/>
      <c r="D55" s="723"/>
      <c r="E55" s="722" t="str">
        <f t="shared" si="4"/>
        <v>Настил без люка (1995мм х 525мм)</v>
      </c>
      <c r="F55" s="717"/>
      <c r="G55" s="717"/>
      <c r="H55" s="717"/>
      <c r="I55" s="717"/>
      <c r="J55" s="717"/>
      <c r="K55" s="717"/>
      <c r="L55" s="717"/>
      <c r="M55" s="717"/>
      <c r="N55" s="717"/>
      <c r="O55" s="717"/>
      <c r="P55" s="717"/>
      <c r="Q55" s="717"/>
      <c r="R55" s="717"/>
      <c r="S55" s="717"/>
      <c r="T55" s="717"/>
      <c r="U55" s="717"/>
      <c r="V55" s="717"/>
      <c r="W55" s="717"/>
      <c r="X55" s="717"/>
      <c r="Y55" s="717"/>
      <c r="Z55" s="717"/>
      <c r="AA55" s="773"/>
      <c r="AB55" s="726">
        <f t="shared" si="5"/>
        <v>0</v>
      </c>
      <c r="AC55" s="717"/>
      <c r="AD55" s="717"/>
      <c r="AE55" s="717"/>
      <c r="AF55" s="723"/>
      <c r="AG55" s="774">
        <f t="shared" si="6"/>
        <v>4240</v>
      </c>
      <c r="AH55" s="717"/>
      <c r="AI55" s="717"/>
      <c r="AJ55" s="717"/>
      <c r="AK55" s="717"/>
      <c r="AL55" s="717"/>
      <c r="AM55" s="773"/>
      <c r="AN55" s="726">
        <f t="shared" si="7"/>
        <v>0</v>
      </c>
      <c r="AO55" s="717"/>
      <c r="AP55" s="717"/>
      <c r="AQ55" s="717"/>
      <c r="AR55" s="717"/>
      <c r="AS55" s="717"/>
      <c r="AT55" s="717"/>
      <c r="AU55" s="773"/>
      <c r="DA55" s="387"/>
      <c r="DB55" s="387"/>
      <c r="DC55" s="387"/>
      <c r="DD55" s="387"/>
      <c r="DE55" s="389"/>
      <c r="DF55" s="390"/>
      <c r="DG55" s="387"/>
      <c r="DH55" s="387"/>
      <c r="DI55" s="387"/>
      <c r="DJ55" s="25"/>
      <c r="DK55" s="25"/>
    </row>
    <row r="56" spans="1:115" ht="15.75" thickBot="1">
      <c r="A56" s="730">
        <v>9</v>
      </c>
      <c r="B56" s="731"/>
      <c r="C56" s="731"/>
      <c r="D56" s="732"/>
      <c r="E56" s="730" t="str">
        <f t="shared" si="4"/>
        <v>Настил с люком (1995мм х 525мм)</v>
      </c>
      <c r="F56" s="731"/>
      <c r="G56" s="731"/>
      <c r="H56" s="731"/>
      <c r="I56" s="731"/>
      <c r="J56" s="731"/>
      <c r="K56" s="731"/>
      <c r="L56" s="731"/>
      <c r="M56" s="731"/>
      <c r="N56" s="731"/>
      <c r="O56" s="731"/>
      <c r="P56" s="731"/>
      <c r="Q56" s="731"/>
      <c r="R56" s="731"/>
      <c r="S56" s="731"/>
      <c r="T56" s="731"/>
      <c r="U56" s="731"/>
      <c r="V56" s="731"/>
      <c r="W56" s="731"/>
      <c r="X56" s="731"/>
      <c r="Y56" s="731"/>
      <c r="Z56" s="731"/>
      <c r="AA56" s="775"/>
      <c r="AB56" s="736">
        <f t="shared" si="5"/>
        <v>0</v>
      </c>
      <c r="AC56" s="731"/>
      <c r="AD56" s="731"/>
      <c r="AE56" s="731"/>
      <c r="AF56" s="732"/>
      <c r="AG56" s="776">
        <f t="shared" si="6"/>
        <v>4410</v>
      </c>
      <c r="AH56" s="731"/>
      <c r="AI56" s="731"/>
      <c r="AJ56" s="731"/>
      <c r="AK56" s="731"/>
      <c r="AL56" s="731"/>
      <c r="AM56" s="775"/>
      <c r="AN56" s="736">
        <f t="shared" si="7"/>
        <v>0</v>
      </c>
      <c r="AO56" s="731"/>
      <c r="AP56" s="731"/>
      <c r="AQ56" s="731"/>
      <c r="AR56" s="731"/>
      <c r="AS56" s="731"/>
      <c r="AT56" s="731"/>
      <c r="AU56" s="775"/>
      <c r="DA56" s="387"/>
      <c r="DB56" s="387"/>
      <c r="DC56" s="387"/>
      <c r="DD56" s="387"/>
      <c r="DE56" s="389"/>
      <c r="DF56" s="390"/>
      <c r="DG56" s="387"/>
      <c r="DH56" s="387"/>
      <c r="DI56" s="387"/>
      <c r="DJ56" s="25"/>
      <c r="DK56" s="25"/>
    </row>
    <row r="57" spans="1:115" ht="15.75" thickBot="1">
      <c r="A57" s="766"/>
      <c r="B57" s="766"/>
      <c r="C57" s="766"/>
      <c r="D57" s="766"/>
      <c r="E57" s="766"/>
      <c r="F57" s="766"/>
      <c r="G57" s="766"/>
      <c r="H57" s="766"/>
      <c r="I57" s="766"/>
      <c r="J57" s="766"/>
      <c r="K57" s="766"/>
      <c r="L57" s="766"/>
      <c r="M57" s="766"/>
      <c r="N57" s="766"/>
      <c r="O57" s="766"/>
      <c r="P57" s="766"/>
      <c r="Q57" s="766"/>
      <c r="R57" s="766"/>
      <c r="S57" s="766"/>
      <c r="T57" s="766"/>
      <c r="U57" s="766"/>
      <c r="V57" s="766"/>
      <c r="W57" s="766"/>
      <c r="X57" s="766"/>
      <c r="Y57" s="766"/>
      <c r="Z57" s="766"/>
      <c r="AA57" s="766"/>
      <c r="AB57" s="767"/>
      <c r="AC57" s="766"/>
      <c r="AD57" s="766"/>
      <c r="AE57" s="766"/>
      <c r="AF57" s="766"/>
      <c r="AG57" s="767"/>
      <c r="AH57" s="766"/>
      <c r="AI57" s="766"/>
      <c r="AJ57" s="766"/>
      <c r="AK57" s="766"/>
      <c r="AL57" s="766"/>
      <c r="AM57" s="766"/>
      <c r="AN57" s="807">
        <f>SUM(AN48:AU56)</f>
        <v>6600</v>
      </c>
      <c r="AO57" s="808"/>
      <c r="AP57" s="808"/>
      <c r="AQ57" s="808"/>
      <c r="AR57" s="808"/>
      <c r="AS57" s="808"/>
      <c r="AT57" s="808"/>
      <c r="AU57" s="809"/>
      <c r="DA57" s="387"/>
      <c r="DB57" s="389"/>
      <c r="DC57" s="387"/>
      <c r="DD57" s="387"/>
      <c r="DE57" s="389"/>
      <c r="DF57" s="387"/>
      <c r="DG57" s="387"/>
      <c r="DH57" s="387"/>
      <c r="DI57" s="387"/>
      <c r="DJ57" s="25"/>
      <c r="DK57" s="25"/>
    </row>
    <row r="58" spans="1:115" ht="8.25" customHeight="1">
      <c r="A58" s="766"/>
      <c r="B58" s="766"/>
      <c r="C58" s="766"/>
      <c r="D58" s="766"/>
      <c r="E58" s="766"/>
      <c r="F58" s="766"/>
      <c r="G58" s="766"/>
      <c r="H58" s="766"/>
      <c r="I58" s="766"/>
      <c r="J58" s="766"/>
      <c r="K58" s="766"/>
      <c r="L58" s="766"/>
      <c r="M58" s="766"/>
      <c r="N58" s="766"/>
      <c r="O58" s="766"/>
      <c r="P58" s="766"/>
      <c r="Q58" s="766"/>
      <c r="R58" s="766"/>
      <c r="S58" s="766"/>
      <c r="T58" s="766"/>
      <c r="U58" s="766"/>
      <c r="V58" s="766"/>
      <c r="W58" s="766"/>
      <c r="X58" s="766"/>
      <c r="Y58" s="766"/>
      <c r="Z58" s="766"/>
      <c r="AA58" s="766"/>
      <c r="AB58" s="767"/>
      <c r="AC58" s="766"/>
      <c r="AD58" s="766"/>
      <c r="AE58" s="766"/>
      <c r="AF58" s="766"/>
      <c r="AG58" s="767"/>
      <c r="AH58" s="766"/>
      <c r="AI58" s="766"/>
      <c r="AJ58" s="766"/>
      <c r="AK58" s="766"/>
      <c r="AL58" s="766"/>
      <c r="AM58" s="766"/>
      <c r="AN58" s="767"/>
      <c r="AO58" s="766"/>
      <c r="AP58" s="766"/>
      <c r="AQ58" s="766"/>
      <c r="AR58" s="766"/>
      <c r="AS58" s="766"/>
      <c r="AT58" s="766"/>
      <c r="AU58" s="766"/>
      <c r="DA58" s="387"/>
      <c r="DB58" s="387"/>
      <c r="DC58" s="387"/>
      <c r="DD58" s="387"/>
      <c r="DE58" s="387"/>
      <c r="DF58" s="387"/>
      <c r="DG58" s="387"/>
      <c r="DH58" s="387"/>
      <c r="DI58" s="387"/>
      <c r="DJ58" s="25"/>
      <c r="DK58" s="25"/>
    </row>
    <row r="59" spans="1:115">
      <c r="A59" s="753" t="s">
        <v>616</v>
      </c>
      <c r="B59" s="754"/>
      <c r="C59" s="754"/>
      <c r="D59" s="754"/>
      <c r="E59" s="754"/>
      <c r="F59" s="754"/>
      <c r="G59" s="754"/>
      <c r="H59" s="754"/>
      <c r="I59" s="754"/>
      <c r="J59" s="754"/>
      <c r="K59" s="754"/>
      <c r="L59" s="754"/>
      <c r="M59" s="754"/>
      <c r="N59" s="754"/>
      <c r="O59" s="754"/>
      <c r="P59" s="754"/>
      <c r="Q59" s="754"/>
      <c r="R59" s="754"/>
      <c r="S59" s="754"/>
      <c r="T59" s="754"/>
      <c r="U59" s="754"/>
      <c r="V59" s="754"/>
      <c r="W59" s="754"/>
      <c r="X59" s="754"/>
      <c r="Y59" s="754"/>
      <c r="Z59" s="754"/>
      <c r="AA59" s="754"/>
      <c r="AB59" s="754"/>
      <c r="AC59" s="754"/>
      <c r="AD59" s="754"/>
      <c r="AE59" s="754"/>
      <c r="AF59" s="754"/>
      <c r="AG59" s="754"/>
      <c r="AH59" s="754"/>
      <c r="AI59" s="754"/>
      <c r="AJ59" s="754"/>
      <c r="AK59" s="754"/>
      <c r="AL59" s="754"/>
      <c r="AM59" s="754"/>
      <c r="AN59" s="754"/>
      <c r="AO59" s="754"/>
      <c r="AP59" s="754"/>
      <c r="AQ59" s="754"/>
      <c r="AR59" s="754"/>
      <c r="AS59" s="754"/>
      <c r="AT59" s="754"/>
      <c r="AU59" s="754"/>
    </row>
    <row r="60" spans="1:115" ht="7.5" customHeight="1" thickBot="1">
      <c r="A60" s="404"/>
      <c r="B60" s="405"/>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405"/>
      <c r="AR60" s="405"/>
      <c r="AS60" s="405"/>
      <c r="AT60" s="405"/>
      <c r="AU60" s="405"/>
    </row>
    <row r="61" spans="1:115" ht="39" customHeight="1" thickBot="1">
      <c r="A61" s="755" t="s">
        <v>121</v>
      </c>
      <c r="B61" s="756"/>
      <c r="C61" s="756"/>
      <c r="D61" s="757"/>
      <c r="E61" s="758" t="s">
        <v>31</v>
      </c>
      <c r="F61" s="759"/>
      <c r="G61" s="759"/>
      <c r="H61" s="759"/>
      <c r="I61" s="759"/>
      <c r="J61" s="759"/>
      <c r="K61" s="759"/>
      <c r="L61" s="759"/>
      <c r="M61" s="759"/>
      <c r="N61" s="759"/>
      <c r="O61" s="759"/>
      <c r="P61" s="759"/>
      <c r="Q61" s="759"/>
      <c r="R61" s="759"/>
      <c r="S61" s="759"/>
      <c r="T61" s="759"/>
      <c r="U61" s="759"/>
      <c r="V61" s="759"/>
      <c r="W61" s="759"/>
      <c r="X61" s="759"/>
      <c r="Y61" s="759"/>
      <c r="Z61" s="759"/>
      <c r="AA61" s="760"/>
      <c r="AB61" s="761" t="s">
        <v>471</v>
      </c>
      <c r="AC61" s="756"/>
      <c r="AD61" s="756"/>
      <c r="AE61" s="756"/>
      <c r="AF61" s="757"/>
      <c r="AG61" s="762" t="s">
        <v>617</v>
      </c>
      <c r="AH61" s="763"/>
      <c r="AI61" s="763"/>
      <c r="AJ61" s="763"/>
      <c r="AK61" s="763"/>
      <c r="AL61" s="763"/>
      <c r="AM61" s="764"/>
      <c r="AN61" s="761" t="s">
        <v>548</v>
      </c>
      <c r="AO61" s="756"/>
      <c r="AP61" s="756"/>
      <c r="AQ61" s="756"/>
      <c r="AR61" s="756"/>
      <c r="AS61" s="756"/>
      <c r="AT61" s="756"/>
      <c r="AU61" s="765"/>
    </row>
    <row r="62" spans="1:115">
      <c r="A62" s="742">
        <v>1</v>
      </c>
      <c r="B62" s="743"/>
      <c r="C62" s="743"/>
      <c r="D62" s="744"/>
      <c r="E62" s="745" t="str">
        <f>E20</f>
        <v>База в сборе (2420мм)</v>
      </c>
      <c r="F62" s="746"/>
      <c r="G62" s="746"/>
      <c r="H62" s="746"/>
      <c r="I62" s="746"/>
      <c r="J62" s="746"/>
      <c r="K62" s="746"/>
      <c r="L62" s="746"/>
      <c r="M62" s="746"/>
      <c r="N62" s="746"/>
      <c r="O62" s="746"/>
      <c r="P62" s="746"/>
      <c r="Q62" s="746"/>
      <c r="R62" s="746"/>
      <c r="S62" s="746"/>
      <c r="T62" s="746"/>
      <c r="U62" s="746"/>
      <c r="V62" s="746"/>
      <c r="W62" s="746"/>
      <c r="X62" s="746"/>
      <c r="Y62" s="746"/>
      <c r="Z62" s="746"/>
      <c r="AA62" s="747"/>
      <c r="AB62" s="748">
        <v>0</v>
      </c>
      <c r="AC62" s="743"/>
      <c r="AD62" s="743"/>
      <c r="AE62" s="743"/>
      <c r="AF62" s="744"/>
      <c r="AG62" s="749">
        <f>'Договор аренды тур Юр'!AV222</f>
        <v>500</v>
      </c>
      <c r="AH62" s="750"/>
      <c r="AI62" s="750"/>
      <c r="AJ62" s="750"/>
      <c r="AK62" s="750"/>
      <c r="AL62" s="750"/>
      <c r="AM62" s="806"/>
      <c r="AN62" s="749">
        <f>AB62*AG62</f>
        <v>0</v>
      </c>
      <c r="AO62" s="750"/>
      <c r="AP62" s="750"/>
      <c r="AQ62" s="750"/>
      <c r="AR62" s="750"/>
      <c r="AS62" s="750"/>
      <c r="AT62" s="750"/>
      <c r="AU62" s="751"/>
    </row>
    <row r="63" spans="1:115">
      <c r="A63" s="722">
        <v>2</v>
      </c>
      <c r="B63" s="717"/>
      <c r="C63" s="717"/>
      <c r="D63" s="723"/>
      <c r="E63" s="724" t="str">
        <f t="shared" ref="E63:E70" si="8">E21</f>
        <v>Лестница секции (1160мм х 1214мм)</v>
      </c>
      <c r="F63" s="718"/>
      <c r="G63" s="718"/>
      <c r="H63" s="718"/>
      <c r="I63" s="718"/>
      <c r="J63" s="718"/>
      <c r="K63" s="718"/>
      <c r="L63" s="718"/>
      <c r="M63" s="718"/>
      <c r="N63" s="718"/>
      <c r="O63" s="718"/>
      <c r="P63" s="718"/>
      <c r="Q63" s="718"/>
      <c r="R63" s="718"/>
      <c r="S63" s="718"/>
      <c r="T63" s="718"/>
      <c r="U63" s="718"/>
      <c r="V63" s="718"/>
      <c r="W63" s="718"/>
      <c r="X63" s="718"/>
      <c r="Y63" s="718"/>
      <c r="Z63" s="718"/>
      <c r="AA63" s="725"/>
      <c r="AB63" s="726">
        <v>2</v>
      </c>
      <c r="AC63" s="717"/>
      <c r="AD63" s="717"/>
      <c r="AE63" s="717"/>
      <c r="AF63" s="723"/>
      <c r="AG63" s="727">
        <f>'Договор аренды тур Юр'!AV223</f>
        <v>200</v>
      </c>
      <c r="AH63" s="721"/>
      <c r="AI63" s="721"/>
      <c r="AJ63" s="721"/>
      <c r="AK63" s="721"/>
      <c r="AL63" s="721"/>
      <c r="AM63" s="804"/>
      <c r="AN63" s="727">
        <f t="shared" ref="AN63:AN70" si="9">AB63*AG63</f>
        <v>400</v>
      </c>
      <c r="AO63" s="721"/>
      <c r="AP63" s="721"/>
      <c r="AQ63" s="721"/>
      <c r="AR63" s="721"/>
      <c r="AS63" s="721"/>
      <c r="AT63" s="721"/>
      <c r="AU63" s="728"/>
    </row>
    <row r="64" spans="1:115">
      <c r="A64" s="722">
        <v>3</v>
      </c>
      <c r="B64" s="717"/>
      <c r="C64" s="717"/>
      <c r="D64" s="723"/>
      <c r="E64" s="724" t="str">
        <f t="shared" si="8"/>
        <v>Диагональ объемная (2305мм)</v>
      </c>
      <c r="F64" s="718"/>
      <c r="G64" s="718"/>
      <c r="H64" s="718"/>
      <c r="I64" s="718"/>
      <c r="J64" s="718"/>
      <c r="K64" s="718"/>
      <c r="L64" s="718"/>
      <c r="M64" s="718"/>
      <c r="N64" s="718"/>
      <c r="O64" s="718"/>
      <c r="P64" s="718"/>
      <c r="Q64" s="718"/>
      <c r="R64" s="718"/>
      <c r="S64" s="718"/>
      <c r="T64" s="718"/>
      <c r="U64" s="718"/>
      <c r="V64" s="718"/>
      <c r="W64" s="718"/>
      <c r="X64" s="718"/>
      <c r="Y64" s="718"/>
      <c r="Z64" s="718"/>
      <c r="AA64" s="725"/>
      <c r="AB64" s="741">
        <v>0</v>
      </c>
      <c r="AC64" s="717"/>
      <c r="AD64" s="717"/>
      <c r="AE64" s="717"/>
      <c r="AF64" s="723"/>
      <c r="AG64" s="727">
        <f>'Договор аренды тур Юр'!AV224</f>
        <v>50</v>
      </c>
      <c r="AH64" s="721"/>
      <c r="AI64" s="721"/>
      <c r="AJ64" s="721"/>
      <c r="AK64" s="721"/>
      <c r="AL64" s="721"/>
      <c r="AM64" s="804"/>
      <c r="AN64" s="727">
        <f t="shared" si="9"/>
        <v>0</v>
      </c>
      <c r="AO64" s="721"/>
      <c r="AP64" s="721"/>
      <c r="AQ64" s="721"/>
      <c r="AR64" s="721"/>
      <c r="AS64" s="721"/>
      <c r="AT64" s="721"/>
      <c r="AU64" s="728"/>
    </row>
    <row r="65" spans="1:67">
      <c r="A65" s="722">
        <v>4</v>
      </c>
      <c r="B65" s="717"/>
      <c r="C65" s="717"/>
      <c r="D65" s="723"/>
      <c r="E65" s="724" t="str">
        <f t="shared" si="8"/>
        <v>Гантель (1975мм)</v>
      </c>
      <c r="F65" s="718"/>
      <c r="G65" s="718"/>
      <c r="H65" s="718"/>
      <c r="I65" s="718"/>
      <c r="J65" s="718"/>
      <c r="K65" s="718"/>
      <c r="L65" s="718"/>
      <c r="M65" s="718"/>
      <c r="N65" s="718"/>
      <c r="O65" s="718"/>
      <c r="P65" s="718"/>
      <c r="Q65" s="718"/>
      <c r="R65" s="718"/>
      <c r="S65" s="718"/>
      <c r="T65" s="718"/>
      <c r="U65" s="718"/>
      <c r="V65" s="718"/>
      <c r="W65" s="718"/>
      <c r="X65" s="718"/>
      <c r="Y65" s="718"/>
      <c r="Z65" s="718"/>
      <c r="AA65" s="725"/>
      <c r="AB65" s="726">
        <v>0</v>
      </c>
      <c r="AC65" s="717"/>
      <c r="AD65" s="717"/>
      <c r="AE65" s="717"/>
      <c r="AF65" s="723"/>
      <c r="AG65" s="727">
        <f>'Договор аренды тур Юр'!AV225</f>
        <v>50</v>
      </c>
      <c r="AH65" s="721"/>
      <c r="AI65" s="721"/>
      <c r="AJ65" s="721"/>
      <c r="AK65" s="721"/>
      <c r="AL65" s="721"/>
      <c r="AM65" s="804"/>
      <c r="AN65" s="727">
        <f t="shared" si="9"/>
        <v>0</v>
      </c>
      <c r="AO65" s="721"/>
      <c r="AP65" s="721"/>
      <c r="AQ65" s="721"/>
      <c r="AR65" s="721"/>
      <c r="AS65" s="721"/>
      <c r="AT65" s="721"/>
      <c r="AU65" s="728"/>
      <c r="BN65" t="s">
        <v>618</v>
      </c>
      <c r="BO65" s="406">
        <f>AN57</f>
        <v>6600</v>
      </c>
    </row>
    <row r="66" spans="1:67">
      <c r="A66" s="722">
        <v>5</v>
      </c>
      <c r="B66" s="717"/>
      <c r="C66" s="717"/>
      <c r="D66" s="723"/>
      <c r="E66" s="724" t="str">
        <f t="shared" si="8"/>
        <v>Стяжка лестницы (840мм)</v>
      </c>
      <c r="F66" s="718"/>
      <c r="G66" s="718"/>
      <c r="H66" s="718"/>
      <c r="I66" s="718"/>
      <c r="J66" s="718"/>
      <c r="K66" s="718"/>
      <c r="L66" s="718"/>
      <c r="M66" s="718"/>
      <c r="N66" s="718"/>
      <c r="O66" s="718"/>
      <c r="P66" s="718"/>
      <c r="Q66" s="718"/>
      <c r="R66" s="718"/>
      <c r="S66" s="718"/>
      <c r="T66" s="718"/>
      <c r="U66" s="718"/>
      <c r="V66" s="718"/>
      <c r="W66" s="718"/>
      <c r="X66" s="718"/>
      <c r="Y66" s="718"/>
      <c r="Z66" s="718"/>
      <c r="AA66" s="725"/>
      <c r="AB66" s="726">
        <v>0</v>
      </c>
      <c r="AC66" s="717"/>
      <c r="AD66" s="717"/>
      <c r="AE66" s="717"/>
      <c r="AF66" s="723"/>
      <c r="AG66" s="727">
        <f>'Договор аренды тур Юр'!AV226</f>
        <v>30</v>
      </c>
      <c r="AH66" s="721"/>
      <c r="AI66" s="721"/>
      <c r="AJ66" s="721"/>
      <c r="AK66" s="721"/>
      <c r="AL66" s="721"/>
      <c r="AM66" s="804"/>
      <c r="AN66" s="727">
        <f t="shared" si="9"/>
        <v>0</v>
      </c>
      <c r="AO66" s="721"/>
      <c r="AP66" s="721"/>
      <c r="AQ66" s="721"/>
      <c r="AR66" s="721"/>
      <c r="AS66" s="721"/>
      <c r="AT66" s="721"/>
      <c r="AU66" s="728"/>
      <c r="BN66" t="s">
        <v>619</v>
      </c>
      <c r="BO66" s="406">
        <f>AN71</f>
        <v>400</v>
      </c>
    </row>
    <row r="67" spans="1:67">
      <c r="A67" s="722">
        <v>6</v>
      </c>
      <c r="B67" s="717"/>
      <c r="C67" s="717"/>
      <c r="D67" s="723"/>
      <c r="E67" s="724" t="str">
        <f t="shared" si="8"/>
        <v>Стабилизатор в сборе (2400мм)</v>
      </c>
      <c r="F67" s="718"/>
      <c r="G67" s="718"/>
      <c r="H67" s="718"/>
      <c r="I67" s="718"/>
      <c r="J67" s="718"/>
      <c r="K67" s="718"/>
      <c r="L67" s="718"/>
      <c r="M67" s="718"/>
      <c r="N67" s="718"/>
      <c r="O67" s="718"/>
      <c r="P67" s="718"/>
      <c r="Q67" s="718"/>
      <c r="R67" s="718"/>
      <c r="S67" s="718"/>
      <c r="T67" s="718"/>
      <c r="U67" s="718"/>
      <c r="V67" s="718"/>
      <c r="W67" s="718"/>
      <c r="X67" s="718"/>
      <c r="Y67" s="718"/>
      <c r="Z67" s="718"/>
      <c r="AA67" s="725"/>
      <c r="AB67" s="726">
        <v>0</v>
      </c>
      <c r="AC67" s="717"/>
      <c r="AD67" s="717"/>
      <c r="AE67" s="717"/>
      <c r="AF67" s="723"/>
      <c r="AG67" s="727">
        <f>'Договор аренды тур Юр'!AV227</f>
        <v>100</v>
      </c>
      <c r="AH67" s="721"/>
      <c r="AI67" s="721"/>
      <c r="AJ67" s="721"/>
      <c r="AK67" s="721"/>
      <c r="AL67" s="721"/>
      <c r="AM67" s="804"/>
      <c r="AN67" s="727">
        <f t="shared" si="9"/>
        <v>0</v>
      </c>
      <c r="AO67" s="721"/>
      <c r="AP67" s="721"/>
      <c r="AQ67" s="721"/>
      <c r="AR67" s="721"/>
      <c r="AS67" s="721"/>
      <c r="AT67" s="721"/>
      <c r="AU67" s="728"/>
      <c r="BN67" t="s">
        <v>620</v>
      </c>
      <c r="BO67" s="407">
        <v>0</v>
      </c>
    </row>
    <row r="68" spans="1:67">
      <c r="A68" s="722">
        <v>7</v>
      </c>
      <c r="B68" s="717"/>
      <c r="C68" s="717"/>
      <c r="D68" s="723"/>
      <c r="E68" s="724" t="str">
        <f t="shared" si="8"/>
        <v>Гантель ограждения (1965мм)</v>
      </c>
      <c r="F68" s="718"/>
      <c r="G68" s="718"/>
      <c r="H68" s="718"/>
      <c r="I68" s="718"/>
      <c r="J68" s="718"/>
      <c r="K68" s="718"/>
      <c r="L68" s="718"/>
      <c r="M68" s="718"/>
      <c r="N68" s="718"/>
      <c r="O68" s="718"/>
      <c r="P68" s="718"/>
      <c r="Q68" s="718"/>
      <c r="R68" s="718"/>
      <c r="S68" s="718"/>
      <c r="T68" s="718"/>
      <c r="U68" s="718"/>
      <c r="V68" s="718"/>
      <c r="W68" s="718"/>
      <c r="X68" s="718"/>
      <c r="Y68" s="718"/>
      <c r="Z68" s="718"/>
      <c r="AA68" s="725"/>
      <c r="AB68" s="726">
        <v>0</v>
      </c>
      <c r="AC68" s="717"/>
      <c r="AD68" s="717"/>
      <c r="AE68" s="717"/>
      <c r="AF68" s="723"/>
      <c r="AG68" s="727">
        <f>'Договор аренды тур Юр'!AV228</f>
        <v>50</v>
      </c>
      <c r="AH68" s="721"/>
      <c r="AI68" s="721"/>
      <c r="AJ68" s="721"/>
      <c r="AK68" s="721"/>
      <c r="AL68" s="721"/>
      <c r="AM68" s="804"/>
      <c r="AN68" s="727">
        <f t="shared" si="9"/>
        <v>0</v>
      </c>
      <c r="AO68" s="721"/>
      <c r="AP68" s="721"/>
      <c r="AQ68" s="721"/>
      <c r="AR68" s="721"/>
      <c r="AS68" s="721"/>
      <c r="AT68" s="721"/>
      <c r="AU68" s="728"/>
    </row>
    <row r="69" spans="1:67">
      <c r="A69" s="722">
        <v>8</v>
      </c>
      <c r="B69" s="717"/>
      <c r="C69" s="717"/>
      <c r="D69" s="723"/>
      <c r="E69" s="724" t="str">
        <f t="shared" si="8"/>
        <v>Настил без люка (1995мм х 525мм)</v>
      </c>
      <c r="F69" s="718"/>
      <c r="G69" s="718"/>
      <c r="H69" s="718"/>
      <c r="I69" s="718"/>
      <c r="J69" s="718"/>
      <c r="K69" s="718"/>
      <c r="L69" s="718"/>
      <c r="M69" s="718"/>
      <c r="N69" s="718"/>
      <c r="O69" s="718"/>
      <c r="P69" s="718"/>
      <c r="Q69" s="718"/>
      <c r="R69" s="718"/>
      <c r="S69" s="718"/>
      <c r="T69" s="718"/>
      <c r="U69" s="718"/>
      <c r="V69" s="718"/>
      <c r="W69" s="718"/>
      <c r="X69" s="718"/>
      <c r="Y69" s="718"/>
      <c r="Z69" s="718"/>
      <c r="AA69" s="725"/>
      <c r="AB69" s="726">
        <v>0</v>
      </c>
      <c r="AC69" s="717"/>
      <c r="AD69" s="717"/>
      <c r="AE69" s="717"/>
      <c r="AF69" s="723"/>
      <c r="AG69" s="727">
        <f>'Договор аренды тур Юр'!AV229</f>
        <v>500</v>
      </c>
      <c r="AH69" s="721"/>
      <c r="AI69" s="721"/>
      <c r="AJ69" s="721"/>
      <c r="AK69" s="721"/>
      <c r="AL69" s="721"/>
      <c r="AM69" s="804"/>
      <c r="AN69" s="727">
        <f t="shared" si="9"/>
        <v>0</v>
      </c>
      <c r="AO69" s="721"/>
      <c r="AP69" s="721"/>
      <c r="AQ69" s="721"/>
      <c r="AR69" s="721"/>
      <c r="AS69" s="721"/>
      <c r="AT69" s="721"/>
      <c r="AU69" s="728"/>
    </row>
    <row r="70" spans="1:67" ht="15.75" thickBot="1">
      <c r="A70" s="730">
        <v>9</v>
      </c>
      <c r="B70" s="731"/>
      <c r="C70" s="731"/>
      <c r="D70" s="732"/>
      <c r="E70" s="733" t="str">
        <f t="shared" si="8"/>
        <v>Настил с люком (1995мм х 525мм)</v>
      </c>
      <c r="F70" s="734"/>
      <c r="G70" s="734"/>
      <c r="H70" s="734"/>
      <c r="I70" s="734"/>
      <c r="J70" s="734"/>
      <c r="K70" s="734"/>
      <c r="L70" s="734"/>
      <c r="M70" s="734"/>
      <c r="N70" s="734"/>
      <c r="O70" s="734"/>
      <c r="P70" s="734"/>
      <c r="Q70" s="734"/>
      <c r="R70" s="734"/>
      <c r="S70" s="734"/>
      <c r="T70" s="734"/>
      <c r="U70" s="734"/>
      <c r="V70" s="734"/>
      <c r="W70" s="734"/>
      <c r="X70" s="734"/>
      <c r="Y70" s="734"/>
      <c r="Z70" s="734"/>
      <c r="AA70" s="735"/>
      <c r="AB70" s="736">
        <v>0</v>
      </c>
      <c r="AC70" s="731"/>
      <c r="AD70" s="731"/>
      <c r="AE70" s="731"/>
      <c r="AF70" s="732"/>
      <c r="AG70" s="737">
        <f>'Договор аренды тур Юр'!AV230</f>
        <v>500</v>
      </c>
      <c r="AH70" s="738"/>
      <c r="AI70" s="738"/>
      <c r="AJ70" s="738"/>
      <c r="AK70" s="738"/>
      <c r="AL70" s="738"/>
      <c r="AM70" s="805"/>
      <c r="AN70" s="737">
        <f t="shared" si="9"/>
        <v>0</v>
      </c>
      <c r="AO70" s="738"/>
      <c r="AP70" s="738"/>
      <c r="AQ70" s="738"/>
      <c r="AR70" s="738"/>
      <c r="AS70" s="738"/>
      <c r="AT70" s="738"/>
      <c r="AU70" s="739"/>
    </row>
    <row r="71" spans="1:67">
      <c r="A71" s="405"/>
      <c r="B71" s="405"/>
      <c r="C71" s="405"/>
      <c r="D71" s="405"/>
      <c r="E71" s="404"/>
      <c r="F71" s="404"/>
      <c r="G71" s="404"/>
      <c r="H71" s="404"/>
      <c r="I71" s="404"/>
      <c r="J71" s="404"/>
      <c r="K71" s="404"/>
      <c r="L71" s="404"/>
      <c r="M71" s="404"/>
      <c r="N71" s="404"/>
      <c r="O71" s="404"/>
      <c r="P71" s="404"/>
      <c r="Q71" s="404"/>
      <c r="R71" s="404"/>
      <c r="S71" s="404"/>
      <c r="T71" s="404"/>
      <c r="U71" s="404"/>
      <c r="V71" s="404"/>
      <c r="W71" s="404"/>
      <c r="X71" s="404"/>
      <c r="Y71" s="404"/>
      <c r="Z71" s="404"/>
      <c r="AA71" s="404"/>
      <c r="AB71" s="408"/>
      <c r="AC71" s="405"/>
      <c r="AD71" s="405"/>
      <c r="AE71" s="405"/>
      <c r="AF71" s="405"/>
      <c r="AG71" s="409"/>
      <c r="AH71" s="410"/>
      <c r="AI71" s="410"/>
      <c r="AJ71" s="410"/>
      <c r="AK71" s="410"/>
      <c r="AL71" s="410"/>
      <c r="AM71" s="410"/>
      <c r="AN71" s="802">
        <f>SUM(AN62:AU70)</f>
        <v>400</v>
      </c>
      <c r="AO71" s="803"/>
      <c r="AP71" s="803"/>
      <c r="AQ71" s="803"/>
      <c r="AR71" s="803"/>
      <c r="AS71" s="803"/>
      <c r="AT71" s="803"/>
      <c r="AU71" s="803"/>
    </row>
    <row r="72" spans="1:67">
      <c r="A72" s="405"/>
      <c r="B72" s="405"/>
      <c r="C72" s="405"/>
      <c r="D72" s="405"/>
      <c r="E72" s="404"/>
      <c r="F72" s="405"/>
      <c r="G72" s="405"/>
      <c r="H72" s="405"/>
      <c r="I72" s="405"/>
      <c r="J72" s="405"/>
      <c r="K72" s="405"/>
      <c r="L72" s="405"/>
      <c r="M72" s="405"/>
      <c r="N72" s="405"/>
      <c r="O72" s="405"/>
      <c r="P72" s="405"/>
      <c r="Q72" s="405"/>
      <c r="R72" s="405"/>
      <c r="S72" s="405"/>
      <c r="T72" s="405"/>
      <c r="U72" s="405"/>
      <c r="V72" s="405"/>
      <c r="W72" s="405"/>
      <c r="X72" s="405"/>
      <c r="Y72" s="405"/>
      <c r="Z72" s="405"/>
      <c r="AA72" s="405"/>
      <c r="AB72" s="408"/>
      <c r="AC72" s="405"/>
      <c r="AD72" s="405"/>
      <c r="AE72" s="405"/>
      <c r="AF72" s="405"/>
      <c r="AG72" s="409"/>
      <c r="AH72" s="410"/>
      <c r="AI72" s="410"/>
      <c r="AJ72" s="410"/>
      <c r="AK72" s="410"/>
      <c r="AL72" s="410"/>
      <c r="AM72" s="410"/>
      <c r="AN72" s="409"/>
      <c r="AO72" s="410"/>
      <c r="AP72" s="410"/>
      <c r="AQ72" s="410"/>
      <c r="AR72" s="410"/>
      <c r="AS72" s="410"/>
      <c r="AT72" s="410"/>
      <c r="AU72" s="410"/>
      <c r="BN72" t="s">
        <v>184</v>
      </c>
      <c r="BO72" s="406">
        <f>BO65+BO66+BO67</f>
        <v>7000</v>
      </c>
    </row>
    <row r="73" spans="1:67" ht="63" customHeight="1">
      <c r="A73" s="710" t="str">
        <f>CONCATENATE("Просим оплатить стоимость не возвращенного оборудования в полном объеме ",BO65," (",Доп!B10,"), а также стоимость ремонта оборудования согласно актам приема-передачи (возврата) в размере ",BO66," (",Доп!B11,")"," и ",BO67," (",Доп!B12,") стоимость очистки оборудования.")</f>
        <v>Просим оплатить стоимость не возвращенного оборудования в полном объеме 6600 (Шесть тысяч шестьсот рублей 00 копеек), а также стоимость ремонта оборудования согласно актам приема-передачи (возврата) в размере 400 (Четыреста рублей 00 копеек) и 0 (Ноль рублей 00 копеек) стоимость очистки оборудования.</v>
      </c>
      <c r="B73" s="710"/>
      <c r="C73" s="710"/>
      <c r="D73" s="710"/>
      <c r="E73" s="710"/>
      <c r="F73" s="710"/>
      <c r="G73" s="710"/>
      <c r="H73" s="710"/>
      <c r="I73" s="710"/>
      <c r="J73" s="710"/>
      <c r="K73" s="710"/>
      <c r="L73" s="710"/>
      <c r="M73" s="710"/>
      <c r="N73" s="710"/>
      <c r="O73" s="710"/>
      <c r="P73" s="710"/>
      <c r="Q73" s="710"/>
      <c r="R73" s="710"/>
      <c r="S73" s="710"/>
      <c r="T73" s="710"/>
      <c r="U73" s="710"/>
      <c r="V73" s="710"/>
      <c r="W73" s="710"/>
      <c r="X73" s="710"/>
      <c r="Y73" s="710"/>
      <c r="Z73" s="710"/>
      <c r="AA73" s="710"/>
      <c r="AB73" s="710"/>
      <c r="AC73" s="710"/>
      <c r="AD73" s="710"/>
      <c r="AE73" s="710"/>
      <c r="AF73" s="710"/>
      <c r="AG73" s="710"/>
      <c r="AH73" s="710"/>
      <c r="AI73" s="710"/>
      <c r="AJ73" s="710"/>
      <c r="AK73" s="710"/>
      <c r="AL73" s="710"/>
      <c r="AM73" s="710"/>
      <c r="AN73" s="710"/>
      <c r="AO73" s="710"/>
      <c r="AP73" s="710"/>
      <c r="AQ73" s="710"/>
      <c r="AR73" s="710"/>
      <c r="AS73" s="710"/>
      <c r="AT73" s="710"/>
      <c r="AU73" s="710"/>
      <c r="BE73" s="411"/>
    </row>
    <row r="74" spans="1:67">
      <c r="A74" s="711" t="str">
        <f>CONCATENATE("Итого сумма задолженности составит ",BO72," (",Доп!B13,")",)</f>
        <v>Итого сумма задолженности составит 7000 (Семь тысяч рублей 00 копеек)</v>
      </c>
      <c r="B74" s="711"/>
      <c r="C74" s="711"/>
      <c r="D74" s="711"/>
      <c r="E74" s="711"/>
      <c r="F74" s="711"/>
      <c r="G74" s="711"/>
      <c r="H74" s="711"/>
      <c r="I74" s="711"/>
      <c r="J74" s="711"/>
      <c r="K74" s="711"/>
      <c r="L74" s="711"/>
      <c r="M74" s="711"/>
      <c r="N74" s="711"/>
      <c r="O74" s="711"/>
      <c r="P74" s="711"/>
      <c r="Q74" s="711"/>
      <c r="R74" s="711"/>
      <c r="S74" s="711"/>
      <c r="T74" s="711"/>
      <c r="U74" s="711"/>
      <c r="V74" s="711"/>
      <c r="W74" s="711"/>
      <c r="X74" s="711"/>
      <c r="Y74" s="711"/>
      <c r="Z74" s="711"/>
      <c r="AA74" s="711"/>
      <c r="AB74" s="711"/>
      <c r="AC74" s="711"/>
      <c r="AD74" s="711"/>
      <c r="AE74" s="711"/>
      <c r="AF74" s="711"/>
      <c r="AG74" s="711"/>
      <c r="AH74" s="711"/>
      <c r="AI74" s="711"/>
      <c r="AJ74" s="711"/>
      <c r="AK74" s="711"/>
      <c r="AL74" s="711"/>
      <c r="AM74" s="711"/>
      <c r="AN74" s="711"/>
      <c r="AO74" s="711"/>
      <c r="AP74" s="711"/>
      <c r="AQ74" s="711"/>
      <c r="AR74" s="711"/>
      <c r="AS74" s="711"/>
      <c r="AT74" s="711"/>
      <c r="AU74" s="711"/>
      <c r="BE74" s="411"/>
    </row>
    <row r="75" spans="1:67" ht="54" customHeight="1">
      <c r="A75" s="710" t="str">
        <f ca="1">CONCATENATE("При не оплате данного акта в соответствии с пунктом 4.5 Договора аренды оборудования №",ДляДоговора!B2," от ",ДляДоговора!B3,", мы будем вынуждены в одностороннем порядке произвести вычет из обеспечительного взноса.")</f>
        <v>При не оплате данного акта в соответствии с пунктом 4.5 Договора аренды оборудования №30/03-А(23) от 30 марта 2023г., мы будем вынуждены в одностороннем порядке произвести вычет из обеспечительного взноса.</v>
      </c>
      <c r="B75" s="710"/>
      <c r="C75" s="710"/>
      <c r="D75" s="710"/>
      <c r="E75" s="710"/>
      <c r="F75" s="710"/>
      <c r="G75" s="710"/>
      <c r="H75" s="710"/>
      <c r="I75" s="710"/>
      <c r="J75" s="710"/>
      <c r="K75" s="710"/>
      <c r="L75" s="710"/>
      <c r="M75" s="710"/>
      <c r="N75" s="710"/>
      <c r="O75" s="710"/>
      <c r="P75" s="710"/>
      <c r="Q75" s="710"/>
      <c r="R75" s="710"/>
      <c r="S75" s="710"/>
      <c r="T75" s="710"/>
      <c r="U75" s="710"/>
      <c r="V75" s="710"/>
      <c r="W75" s="710"/>
      <c r="X75" s="710"/>
      <c r="Y75" s="710"/>
      <c r="Z75" s="710"/>
      <c r="AA75" s="710"/>
      <c r="AB75" s="710"/>
      <c r="AC75" s="710"/>
      <c r="AD75" s="710"/>
      <c r="AE75" s="710"/>
      <c r="AF75" s="710"/>
      <c r="AG75" s="710"/>
      <c r="AH75" s="710"/>
      <c r="AI75" s="710"/>
      <c r="AJ75" s="710"/>
      <c r="AK75" s="710"/>
      <c r="AL75" s="710"/>
      <c r="AM75" s="710"/>
      <c r="AN75" s="710"/>
      <c r="AO75" s="710"/>
      <c r="AP75" s="710"/>
      <c r="AQ75" s="710"/>
      <c r="AR75" s="710"/>
      <c r="AS75" s="710"/>
      <c r="AT75" s="710"/>
      <c r="AU75" s="710"/>
      <c r="BE75" s="412"/>
      <c r="BG75" s="291"/>
    </row>
    <row r="76" spans="1:67">
      <c r="BE76" s="412"/>
    </row>
    <row r="77" spans="1:67">
      <c r="BE77" s="413"/>
    </row>
    <row r="79" spans="1:67">
      <c r="A79" t="s">
        <v>626</v>
      </c>
      <c r="AG79" t="s">
        <v>627</v>
      </c>
    </row>
    <row r="81" spans="28:28">
      <c r="AB81" t="s">
        <v>118</v>
      </c>
    </row>
  </sheetData>
  <mergeCells count="232">
    <mergeCell ref="CN3:CO3"/>
    <mergeCell ref="BN8:BO8"/>
    <mergeCell ref="A13:AU13"/>
    <mergeCell ref="A15:AU15"/>
    <mergeCell ref="A16:AU16"/>
    <mergeCell ref="A17:AU17"/>
    <mergeCell ref="A19:D19"/>
    <mergeCell ref="E19:AA19"/>
    <mergeCell ref="AB19:AF19"/>
    <mergeCell ref="AG19:AM19"/>
    <mergeCell ref="AN19:AU19"/>
    <mergeCell ref="A20:D20"/>
    <mergeCell ref="E20:AA20"/>
    <mergeCell ref="AB20:AF20"/>
    <mergeCell ref="AG20:AM20"/>
    <mergeCell ref="AN20:AU20"/>
    <mergeCell ref="A21:D21"/>
    <mergeCell ref="E21:AA21"/>
    <mergeCell ref="AB21:AF21"/>
    <mergeCell ref="AG21:AM21"/>
    <mergeCell ref="AN21:AU21"/>
    <mergeCell ref="A22:D22"/>
    <mergeCell ref="E22:AA22"/>
    <mergeCell ref="AB22:AF22"/>
    <mergeCell ref="AG22:AM22"/>
    <mergeCell ref="AN22:AU22"/>
    <mergeCell ref="A23:D23"/>
    <mergeCell ref="E23:AA23"/>
    <mergeCell ref="AB23:AF23"/>
    <mergeCell ref="AG23:AM23"/>
    <mergeCell ref="AN23:AU23"/>
    <mergeCell ref="A24:D24"/>
    <mergeCell ref="E24:AA24"/>
    <mergeCell ref="AB24:AF24"/>
    <mergeCell ref="AG24:AM24"/>
    <mergeCell ref="AN24:AU24"/>
    <mergeCell ref="A25:D25"/>
    <mergeCell ref="E25:AA25"/>
    <mergeCell ref="AB25:AF25"/>
    <mergeCell ref="AG25:AM25"/>
    <mergeCell ref="AN25:AU25"/>
    <mergeCell ref="A26:D26"/>
    <mergeCell ref="E26:AA26"/>
    <mergeCell ref="AB26:AF26"/>
    <mergeCell ref="AG26:AM26"/>
    <mergeCell ref="AN26:AU26"/>
    <mergeCell ref="A27:D27"/>
    <mergeCell ref="E27:AA27"/>
    <mergeCell ref="AB27:AF27"/>
    <mergeCell ref="AG27:AM27"/>
    <mergeCell ref="AN27:AU27"/>
    <mergeCell ref="A28:D28"/>
    <mergeCell ref="E28:AA28"/>
    <mergeCell ref="AB28:AF28"/>
    <mergeCell ref="AG28:AM28"/>
    <mergeCell ref="AN28:AU28"/>
    <mergeCell ref="A29:D29"/>
    <mergeCell ref="E29:AA29"/>
    <mergeCell ref="AB29:AF29"/>
    <mergeCell ref="AG29:AM29"/>
    <mergeCell ref="AN29:AU29"/>
    <mergeCell ref="A33:D33"/>
    <mergeCell ref="E33:AA33"/>
    <mergeCell ref="AB33:AF33"/>
    <mergeCell ref="AG33:AM33"/>
    <mergeCell ref="AN33:AU33"/>
    <mergeCell ref="A34:D34"/>
    <mergeCell ref="E34:AA34"/>
    <mergeCell ref="AB34:AF34"/>
    <mergeCell ref="AG34:AM34"/>
    <mergeCell ref="AN34:AU34"/>
    <mergeCell ref="A35:D35"/>
    <mergeCell ref="E35:AA35"/>
    <mergeCell ref="AB35:AF35"/>
    <mergeCell ref="AG35:AM35"/>
    <mergeCell ref="AN35:AU35"/>
    <mergeCell ref="A36:D36"/>
    <mergeCell ref="E36:AA36"/>
    <mergeCell ref="AB36:AF36"/>
    <mergeCell ref="AG36:AM36"/>
    <mergeCell ref="AN36:AU36"/>
    <mergeCell ref="A37:D37"/>
    <mergeCell ref="E37:AA37"/>
    <mergeCell ref="AB37:AF37"/>
    <mergeCell ref="AG37:AM37"/>
    <mergeCell ref="AN37:AU37"/>
    <mergeCell ref="A38:D38"/>
    <mergeCell ref="E38:AA38"/>
    <mergeCell ref="AB38:AF38"/>
    <mergeCell ref="AG38:AM38"/>
    <mergeCell ref="AN38:AU38"/>
    <mergeCell ref="A39:D39"/>
    <mergeCell ref="E39:AA39"/>
    <mergeCell ref="AB39:AF39"/>
    <mergeCell ref="AG39:AM39"/>
    <mergeCell ref="AN39:AU39"/>
    <mergeCell ref="A40:D40"/>
    <mergeCell ref="E40:AA40"/>
    <mergeCell ref="AB40:AF40"/>
    <mergeCell ref="AG40:AM40"/>
    <mergeCell ref="AN40:AU40"/>
    <mergeCell ref="A41:D41"/>
    <mergeCell ref="E41:AA41"/>
    <mergeCell ref="AB41:AF41"/>
    <mergeCell ref="AG41:AM41"/>
    <mergeCell ref="AN41:AU41"/>
    <mergeCell ref="A45:AU45"/>
    <mergeCell ref="A47:D47"/>
    <mergeCell ref="E47:AA47"/>
    <mergeCell ref="AB47:AF47"/>
    <mergeCell ref="AG47:AM47"/>
    <mergeCell ref="AN47:AU47"/>
    <mergeCell ref="A42:D42"/>
    <mergeCell ref="E42:AA42"/>
    <mergeCell ref="AB42:AF42"/>
    <mergeCell ref="AG42:AM42"/>
    <mergeCell ref="AN42:AU42"/>
    <mergeCell ref="A43:D43"/>
    <mergeCell ref="E43:AA43"/>
    <mergeCell ref="AB43:AF43"/>
    <mergeCell ref="AG43:AM43"/>
    <mergeCell ref="AN43:AU43"/>
    <mergeCell ref="A48:D48"/>
    <mergeCell ref="E48:AA48"/>
    <mergeCell ref="AB48:AF48"/>
    <mergeCell ref="AG48:AM48"/>
    <mergeCell ref="AN48:AU48"/>
    <mergeCell ref="A49:D49"/>
    <mergeCell ref="E49:AA49"/>
    <mergeCell ref="AB49:AF49"/>
    <mergeCell ref="AG49:AM49"/>
    <mergeCell ref="AN49:AU49"/>
    <mergeCell ref="A50:D50"/>
    <mergeCell ref="E50:AA50"/>
    <mergeCell ref="AB50:AF50"/>
    <mergeCell ref="AG50:AM50"/>
    <mergeCell ref="AN50:AU50"/>
    <mergeCell ref="A51:D51"/>
    <mergeCell ref="E51:AA51"/>
    <mergeCell ref="AB51:AF51"/>
    <mergeCell ref="AG51:AM51"/>
    <mergeCell ref="AN51:AU51"/>
    <mergeCell ref="A52:D52"/>
    <mergeCell ref="E52:AA52"/>
    <mergeCell ref="AB52:AF52"/>
    <mergeCell ref="AG52:AM52"/>
    <mergeCell ref="AN52:AU52"/>
    <mergeCell ref="A53:D53"/>
    <mergeCell ref="E53:AA53"/>
    <mergeCell ref="AB53:AF53"/>
    <mergeCell ref="AG53:AM53"/>
    <mergeCell ref="AN53:AU53"/>
    <mergeCell ref="A54:D54"/>
    <mergeCell ref="E54:AA54"/>
    <mergeCell ref="AB54:AF54"/>
    <mergeCell ref="AG54:AM54"/>
    <mergeCell ref="AN54:AU54"/>
    <mergeCell ref="A55:D55"/>
    <mergeCell ref="E55:AA55"/>
    <mergeCell ref="AB55:AF55"/>
    <mergeCell ref="AG55:AM55"/>
    <mergeCell ref="AN55:AU55"/>
    <mergeCell ref="A58:D58"/>
    <mergeCell ref="E58:AA58"/>
    <mergeCell ref="AB58:AF58"/>
    <mergeCell ref="AG58:AM58"/>
    <mergeCell ref="AN58:AU58"/>
    <mergeCell ref="A59:AU59"/>
    <mergeCell ref="A56:D56"/>
    <mergeCell ref="E56:AA56"/>
    <mergeCell ref="AB56:AF56"/>
    <mergeCell ref="AG56:AM56"/>
    <mergeCell ref="AN56:AU56"/>
    <mergeCell ref="A57:D57"/>
    <mergeCell ref="E57:AA57"/>
    <mergeCell ref="AB57:AF57"/>
    <mergeCell ref="AG57:AM57"/>
    <mergeCell ref="AN57:AU57"/>
    <mergeCell ref="A61:D61"/>
    <mergeCell ref="E61:AA61"/>
    <mergeCell ref="AB61:AF61"/>
    <mergeCell ref="AG61:AM61"/>
    <mergeCell ref="AN61:AU61"/>
    <mergeCell ref="A62:D62"/>
    <mergeCell ref="E62:AA62"/>
    <mergeCell ref="AB62:AF62"/>
    <mergeCell ref="AG62:AM62"/>
    <mergeCell ref="AN62:AU62"/>
    <mergeCell ref="A63:D63"/>
    <mergeCell ref="E63:AA63"/>
    <mergeCell ref="AB63:AF63"/>
    <mergeCell ref="AG63:AM63"/>
    <mergeCell ref="AN63:AU63"/>
    <mergeCell ref="A64:D64"/>
    <mergeCell ref="E64:AA64"/>
    <mergeCell ref="AB64:AF64"/>
    <mergeCell ref="AG64:AM64"/>
    <mergeCell ref="AN64:AU64"/>
    <mergeCell ref="A65:D65"/>
    <mergeCell ref="E65:AA65"/>
    <mergeCell ref="AB65:AF65"/>
    <mergeCell ref="AG65:AM65"/>
    <mergeCell ref="AN65:AU65"/>
    <mergeCell ref="A66:D66"/>
    <mergeCell ref="E66:AA66"/>
    <mergeCell ref="AB66:AF66"/>
    <mergeCell ref="AG66:AM66"/>
    <mergeCell ref="AN66:AU66"/>
    <mergeCell ref="A67:D67"/>
    <mergeCell ref="E67:AA67"/>
    <mergeCell ref="AB67:AF67"/>
    <mergeCell ref="AG67:AM67"/>
    <mergeCell ref="AN67:AU67"/>
    <mergeCell ref="A68:D68"/>
    <mergeCell ref="E68:AA68"/>
    <mergeCell ref="AB68:AF68"/>
    <mergeCell ref="AG68:AM68"/>
    <mergeCell ref="AN68:AU68"/>
    <mergeCell ref="AN71:AU71"/>
    <mergeCell ref="A73:AU73"/>
    <mergeCell ref="A74:AU74"/>
    <mergeCell ref="A75:AU75"/>
    <mergeCell ref="A69:D69"/>
    <mergeCell ref="E69:AA69"/>
    <mergeCell ref="AB69:AF69"/>
    <mergeCell ref="AG69:AM69"/>
    <mergeCell ref="AN69:AU69"/>
    <mergeCell ref="A70:D70"/>
    <mergeCell ref="E70:AA70"/>
    <mergeCell ref="AB70:AF70"/>
    <mergeCell ref="AG70:AM70"/>
    <mergeCell ref="AN70:AU70"/>
  </mergeCells>
  <conditionalFormatting sqref="B14:AG14">
    <cfRule type="expression" dxfId="1" priority="1">
      <formula>$AW$11=0</formula>
    </cfRule>
  </conditionalFormatting>
  <pageMargins left="0.7" right="0.7" top="0.75" bottom="0.75" header="0.3" footer="0.3"/>
  <pageSetup paperSize="9" scale="90" orientation="portrait" r:id="rId1"/>
  <drawing r:id="rId2"/>
</worksheet>
</file>

<file path=xl/worksheets/sheet12.xml><?xml version="1.0" encoding="utf-8"?>
<worksheet xmlns="http://schemas.openxmlformats.org/spreadsheetml/2006/main" xmlns:r="http://schemas.openxmlformats.org/officeDocument/2006/relationships">
  <dimension ref="A2:I9"/>
  <sheetViews>
    <sheetView workbookViewId="0">
      <selection activeCell="H18" sqref="H18"/>
    </sheetView>
  </sheetViews>
  <sheetFormatPr defaultRowHeight="15"/>
  <cols>
    <col min="1" max="1" width="35.140625" bestFit="1" customWidth="1"/>
    <col min="2" max="2" width="16.42578125" style="384" bestFit="1" customWidth="1"/>
    <col min="3" max="3" width="12.28515625" style="384" bestFit="1" customWidth="1"/>
    <col min="4" max="4" width="7" style="384" bestFit="1" customWidth="1"/>
    <col min="5" max="5" width="4.42578125" style="384" customWidth="1"/>
    <col min="6" max="6" width="6.5703125" style="384" bestFit="1" customWidth="1"/>
    <col min="7" max="7" width="9.140625" style="384"/>
    <col min="8" max="8" width="13.42578125" style="384" bestFit="1" customWidth="1"/>
    <col min="9" max="9" width="9.140625" style="384"/>
  </cols>
  <sheetData>
    <row r="2" spans="1:8">
      <c r="B2" s="384" t="s">
        <v>287</v>
      </c>
      <c r="C2" s="384" t="s">
        <v>628</v>
      </c>
      <c r="D2" s="384" t="s">
        <v>184</v>
      </c>
      <c r="F2" s="384" t="s">
        <v>629</v>
      </c>
      <c r="G2" s="384" t="s">
        <v>487</v>
      </c>
      <c r="H2" s="384" t="s">
        <v>630</v>
      </c>
    </row>
    <row r="3" spans="1:8">
      <c r="A3" t="str">
        <f>'Договор аренды лесов Юр'!C141</f>
        <v>Рама проходная ЛСПР-200</v>
      </c>
      <c r="B3" s="384">
        <f>'Договор аренды лесов Юр'!AU141</f>
        <v>9.6999999999999993</v>
      </c>
      <c r="C3" s="201">
        <f>'Договор аренды лесов Юр'!T141</f>
        <v>4</v>
      </c>
      <c r="D3" s="384">
        <f>B3*C3</f>
        <v>38.799999999999997</v>
      </c>
      <c r="F3" s="203">
        <v>0</v>
      </c>
      <c r="G3" s="384">
        <f>C3-F3</f>
        <v>4</v>
      </c>
      <c r="H3" s="384">
        <f>G3*B3</f>
        <v>38.799999999999997</v>
      </c>
    </row>
    <row r="4" spans="1:8">
      <c r="A4" t="str">
        <f>'Договор аренды лесов Юр'!C142</f>
        <v xml:space="preserve">Рама с лестницей ЛСПР-200 </v>
      </c>
      <c r="B4" s="384">
        <f>'Договор аренды лесов Юр'!AU142</f>
        <v>11.5</v>
      </c>
      <c r="C4" s="201">
        <f>'Договор аренды лесов Юр'!T142</f>
        <v>4</v>
      </c>
      <c r="D4" s="384">
        <f t="shared" ref="D4:D8" si="0">B4*C4</f>
        <v>46</v>
      </c>
      <c r="F4" s="203">
        <v>0</v>
      </c>
      <c r="G4" s="384">
        <f t="shared" ref="G4:G8" si="1">C4-F4</f>
        <v>4</v>
      </c>
      <c r="H4" s="384">
        <f t="shared" ref="H4:H8" si="2">G4*B4</f>
        <v>46</v>
      </c>
    </row>
    <row r="5" spans="1:8">
      <c r="A5" t="str">
        <f>'Договор аренды лесов Юр'!C143</f>
        <v>Диагональная связь (3,3 м) ЛСПР-200</v>
      </c>
      <c r="B5" s="384">
        <f>'Договор аренды лесов Юр'!AU143</f>
        <v>4.3</v>
      </c>
      <c r="C5" s="201">
        <f>'Договор аренды лесов Юр'!T143</f>
        <v>4</v>
      </c>
      <c r="D5" s="384">
        <f t="shared" si="0"/>
        <v>17.2</v>
      </c>
      <c r="F5" s="203">
        <v>0</v>
      </c>
      <c r="G5" s="384">
        <f t="shared" si="1"/>
        <v>4</v>
      </c>
      <c r="H5" s="384">
        <f t="shared" si="2"/>
        <v>17.2</v>
      </c>
    </row>
    <row r="6" spans="1:8">
      <c r="A6" t="str">
        <f>'Договор аренды лесов Юр'!C144</f>
        <v>Горизонтальная связь (3м) ЛСПР-200</v>
      </c>
      <c r="B6" s="384">
        <f>'Договор аренды лесов Юр'!AU144</f>
        <v>2.2000000000000002</v>
      </c>
      <c r="C6" s="201">
        <f>'Договор аренды лесов Юр'!T144</f>
        <v>4</v>
      </c>
      <c r="D6" s="384">
        <f t="shared" si="0"/>
        <v>8.8000000000000007</v>
      </c>
      <c r="F6" s="203">
        <v>0</v>
      </c>
      <c r="G6" s="384">
        <f t="shared" si="1"/>
        <v>4</v>
      </c>
      <c r="H6" s="384">
        <f t="shared" si="2"/>
        <v>8.8000000000000007</v>
      </c>
    </row>
    <row r="7" spans="1:8">
      <c r="A7" t="str">
        <f>'Договор аренды лесов Юр'!C145</f>
        <v>Мостки (настил) деревянные</v>
      </c>
      <c r="B7" s="384">
        <f>'Договор аренды лесов Юр'!AU145</f>
        <v>3.1</v>
      </c>
      <c r="C7" s="201">
        <f>'Договор аренды лесов Юр'!T145</f>
        <v>12</v>
      </c>
      <c r="D7" s="384">
        <f t="shared" si="0"/>
        <v>37.200000000000003</v>
      </c>
      <c r="F7" s="203">
        <v>0</v>
      </c>
      <c r="G7" s="384">
        <f t="shared" si="1"/>
        <v>12</v>
      </c>
      <c r="H7" s="384">
        <f t="shared" si="2"/>
        <v>37.200000000000003</v>
      </c>
    </row>
    <row r="8" spans="1:8">
      <c r="A8" t="str">
        <f>'Договор аренды лесов Юр'!C146</f>
        <v>Ригель для настила</v>
      </c>
      <c r="B8" s="384">
        <f>'Договор аренды лесов Юр'!AU146</f>
        <v>7.7</v>
      </c>
      <c r="C8" s="201">
        <f>'Договор аренды лесов Юр'!T146</f>
        <v>8</v>
      </c>
      <c r="D8" s="384">
        <f t="shared" si="0"/>
        <v>61.6</v>
      </c>
      <c r="F8" s="203">
        <v>0</v>
      </c>
      <c r="G8" s="384">
        <f t="shared" si="1"/>
        <v>8</v>
      </c>
      <c r="H8" s="384">
        <f t="shared" si="2"/>
        <v>61.6</v>
      </c>
    </row>
    <row r="9" spans="1:8">
      <c r="D9" s="201">
        <f>SUM(D3:D8)</f>
        <v>209.6</v>
      </c>
      <c r="H9" s="332">
        <f>SUM(H3:H8)</f>
        <v>209.6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B1:G17"/>
  <sheetViews>
    <sheetView workbookViewId="0">
      <selection activeCell="G10" sqref="G10"/>
    </sheetView>
  </sheetViews>
  <sheetFormatPr defaultRowHeight="15"/>
  <cols>
    <col min="2" max="2" width="17.7109375" bestFit="1" customWidth="1"/>
    <col min="3" max="3" width="58.28515625" bestFit="1" customWidth="1"/>
    <col min="4" max="4" width="5.5703125" customWidth="1"/>
    <col min="5" max="5" width="5.7109375" customWidth="1"/>
    <col min="6" max="6" width="17.7109375" bestFit="1" customWidth="1"/>
    <col min="7" max="7" width="62" bestFit="1" customWidth="1"/>
  </cols>
  <sheetData>
    <row r="1" spans="2:7" s="301" customFormat="1" ht="21">
      <c r="B1" s="813" t="s">
        <v>499</v>
      </c>
      <c r="C1" s="813"/>
      <c r="F1" s="813" t="s">
        <v>501</v>
      </c>
      <c r="G1" s="813"/>
    </row>
    <row r="2" spans="2:7" ht="3.75" customHeight="1"/>
    <row r="3" spans="2:7">
      <c r="B3" t="s">
        <v>500</v>
      </c>
      <c r="C3" s="302" t="s">
        <v>524</v>
      </c>
      <c r="F3" t="s">
        <v>31</v>
      </c>
      <c r="G3" s="303" t="s">
        <v>525</v>
      </c>
    </row>
    <row r="4" spans="2:7">
      <c r="B4" t="s">
        <v>503</v>
      </c>
      <c r="C4" s="302" t="s">
        <v>502</v>
      </c>
      <c r="F4" t="s">
        <v>503</v>
      </c>
      <c r="G4" s="303" t="s">
        <v>504</v>
      </c>
    </row>
    <row r="5" spans="2:7">
      <c r="B5" t="s">
        <v>505</v>
      </c>
      <c r="C5" s="302" t="s">
        <v>506</v>
      </c>
      <c r="F5" t="s">
        <v>505</v>
      </c>
      <c r="G5" s="303" t="s">
        <v>507</v>
      </c>
    </row>
    <row r="6" spans="2:7">
      <c r="B6" t="s">
        <v>173</v>
      </c>
      <c r="C6" s="302">
        <v>6670428868</v>
      </c>
      <c r="F6" t="s">
        <v>173</v>
      </c>
      <c r="G6" s="303" t="s">
        <v>516</v>
      </c>
    </row>
    <row r="7" spans="2:7">
      <c r="B7" t="s">
        <v>217</v>
      </c>
      <c r="C7" s="302">
        <v>667001001</v>
      </c>
      <c r="F7" t="s">
        <v>217</v>
      </c>
      <c r="G7" s="303" t="s">
        <v>517</v>
      </c>
    </row>
    <row r="8" spans="2:7">
      <c r="B8" t="s">
        <v>221</v>
      </c>
      <c r="C8" s="302" t="s">
        <v>512</v>
      </c>
      <c r="F8" t="s">
        <v>221</v>
      </c>
      <c r="G8" s="303" t="s">
        <v>518</v>
      </c>
    </row>
    <row r="9" spans="2:7">
      <c r="B9" t="s">
        <v>509</v>
      </c>
      <c r="C9" s="302" t="s">
        <v>631</v>
      </c>
      <c r="F9" t="s">
        <v>509</v>
      </c>
      <c r="G9" s="303" t="s">
        <v>644</v>
      </c>
    </row>
    <row r="10" spans="2:7">
      <c r="B10" t="s">
        <v>508</v>
      </c>
      <c r="C10" s="302" t="s">
        <v>631</v>
      </c>
      <c r="F10" t="s">
        <v>508</v>
      </c>
      <c r="G10" s="303" t="s">
        <v>631</v>
      </c>
    </row>
    <row r="11" spans="2:7">
      <c r="B11" t="s">
        <v>511</v>
      </c>
      <c r="C11" s="302" t="s">
        <v>513</v>
      </c>
      <c r="F11" t="s">
        <v>511</v>
      </c>
      <c r="G11" s="303" t="s">
        <v>519</v>
      </c>
    </row>
    <row r="12" spans="2:7">
      <c r="B12" t="s">
        <v>219</v>
      </c>
      <c r="C12" s="302" t="s">
        <v>514</v>
      </c>
      <c r="F12" t="s">
        <v>219</v>
      </c>
      <c r="G12" s="303" t="s">
        <v>520</v>
      </c>
    </row>
    <row r="13" spans="2:7">
      <c r="B13" t="s">
        <v>510</v>
      </c>
      <c r="C13" s="302" t="s">
        <v>515</v>
      </c>
      <c r="F13" t="s">
        <v>510</v>
      </c>
      <c r="G13" s="303" t="s">
        <v>322</v>
      </c>
    </row>
    <row r="14" spans="2:7">
      <c r="B14" t="s">
        <v>170</v>
      </c>
      <c r="C14" s="302" t="s">
        <v>464</v>
      </c>
      <c r="F14" t="s">
        <v>170</v>
      </c>
      <c r="G14" s="303" t="s">
        <v>321</v>
      </c>
    </row>
    <row r="15" spans="2:7">
      <c r="C15" s="113"/>
    </row>
    <row r="16" spans="2:7">
      <c r="C16" s="113"/>
    </row>
    <row r="17" spans="3:3">
      <c r="C17" s="113"/>
    </row>
  </sheetData>
  <mergeCells count="2">
    <mergeCell ref="B1:C1"/>
    <mergeCell ref="F1:G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sheetPr codeName="Лист7"/>
  <dimension ref="A1:P50"/>
  <sheetViews>
    <sheetView workbookViewId="0">
      <selection activeCell="B10" sqref="B10"/>
    </sheetView>
  </sheetViews>
  <sheetFormatPr defaultRowHeight="15"/>
  <cols>
    <col min="1" max="1" width="28.7109375" bestFit="1" customWidth="1"/>
  </cols>
  <sheetData>
    <row r="1" spans="1:13" s="100" customFormat="1" ht="18">
      <c r="A1" s="100" t="s">
        <v>140</v>
      </c>
      <c r="B1" s="101"/>
    </row>
    <row r="2" spans="1:13" s="102" customFormat="1" ht="12.75">
      <c r="B2" s="103"/>
    </row>
    <row r="3" spans="1:13">
      <c r="A3" s="104">
        <v>999999999999.98999</v>
      </c>
      <c r="B3" s="101" t="str">
        <f>SUBSTITUTE(PROPER(INDEX(n_4,MID(TEXT(A3,n0),1,1)+1)&amp;INDEX(n0x,MID(TEXT(A3,n0),2,1)+1,MID(TEXT(A3,n0),3,1)+1)&amp;IF(-MID(TEXT(A3,n0),1,3),"миллиард"&amp;VLOOKUP(MID(TEXT(A3,n0),3,1)*AND(MID(TEXT(A3,n0),2,1)-1),мил,2),"")&amp;INDEX(n_4,MID(TEXT(A3,n0),4,1)+1)&amp;INDEX(n0x,MID(TEXT(A3,n0),5,1)+1,MID(TEXT(A3,n0),6,1)+1)&amp;IF(-MID(TEXT(A3,n0),4,3),"миллион"&amp;VLOOKUP(MID(TEXT(A3,n0),6,1)*AND(MID(TEXT(A3,n0),5,1)-1),мил,2),"")&amp;INDEX(n_4,MID(TEXT(A3,n0),7,1)+1)&amp;INDEX(n1x,MID(TEXT(A3,n0),8,1)+1,MID(TEXT(A3,n0),9,1)+1)&amp;IF(-MID(TEXT(A3,n0),7,3),VLOOKUP(MID(TEXT(A3,n0),9,1)*AND(MID(TEXT(A3,n0),8,1)-1),тыс,2),"")&amp;INDEX(n_4,MID(TEXT(A3,n0),10,1)+1)&amp;INDEX(n0x,MID(TEXT(A3,n0),11,1)+1,MID(TEXT(A3,n0),12,1)+1)),"z"," ")&amp;IF(TRUNC(TEXT(A3,n0)),"","Ноль ")&amp;"рубл"&amp;VLOOKUP(MOD(MAX(MOD(MID(TEXT(A3,n0),11,2)-11,100),9),10),{0,"ь ";1,"я ";4,"ей "},2)&amp;RIGHT(TEXT(A3,n0),2)&amp;" копе"&amp;VLOOKUP(MOD(MAX(MOD(RIGHT(TEXT(A3,n0),2)-11,100),9),10),{0,"йка";1,"йки";4,"ек"},2)</f>
        <v>Девятьсот девяносто девять миллиардов девятьсот девяносто девять миллионов девятьсот девяносто девять тысяч девятьсот девяносто девять рублей 99 копеек</v>
      </c>
    </row>
    <row r="4" spans="1:13" s="105" customFormat="1">
      <c r="A4" s="105" t="s">
        <v>141</v>
      </c>
      <c r="F4"/>
      <c r="G4"/>
      <c r="H4"/>
      <c r="J4"/>
      <c r="K4"/>
      <c r="L4"/>
      <c r="M4"/>
    </row>
    <row r="5" spans="1:13">
      <c r="A5" s="104">
        <f>'Акт невозврата Леса'!BO62</f>
        <v>17770</v>
      </c>
      <c r="B5" s="101" t="str">
        <f>SUBSTITUTE(PROPER(INDEX(n_4,MID(TEXT(A5,n0),1,1)+1)&amp;INDEX(n0x,MID(TEXT(A5,n0),2,1)+1,MID(TEXT(A5,n0),3,1)+1)&amp;IF(-MID(TEXT(A5,n0),1,3),"миллиард"&amp;VLOOKUP(MID(TEXT(A5,n0),3,1)*AND(MID(TEXT(A5,n0),2,1)-1),мил,2),"")&amp;INDEX(n_4,MID(TEXT(A5,n0),4,1)+1)&amp;INDEX(n0x,MID(TEXT(A5,n0),5,1)+1,MID(TEXT(A5,n0),6,1)+1)&amp;IF(-MID(TEXT(A5,n0),4,3),"миллион"&amp;VLOOKUP(MID(TEXT(A5,n0),6,1)*AND(MID(TEXT(A5,n0),5,1)-1),мил,2),"")&amp;INDEX(n_4,MID(TEXT(A5,n0),7,1)+1)&amp;INDEX(n1x,MID(TEXT(A5,n0),8,1)+1,MID(TEXT(A5,n0),9,1)+1)&amp;IF(-MID(TEXT(A5,n0),7,3),VLOOKUP(MID(TEXT(A5,n0),9,1)*AND(MID(TEXT(A5,n0),8,1)-1),тыс,2),"")&amp;INDEX(n_4,MID(TEXT(A5,n0),10,1)+1)&amp;INDEX(n0x,MID(TEXT(A5,n0),11,1)+1,MID(TEXT(A5,n0),12,1)+1)),"z"," ")&amp;IF(TRUNC(TEXT(A5,n0)),"","Ноль ")&amp;"рубл"&amp;VLOOKUP(MOD(MAX(MOD(MID(TEXT(A5,n0),11,2)-11,100),9),10),{0,"ь ";1,"я ";4,"ей "},2)&amp;RIGHT(TEXT(A5,n0),2)&amp;" копе"&amp;VLOOKUP(MOD(MAX(MOD(RIGHT(TEXT(A5,n0),2)-11,100),9),10),{0,"йка";1,"йки";4,"ек"},2)</f>
        <v>Семнадцать тысяч семьсот семьдесят рублей 00 копеек</v>
      </c>
    </row>
    <row r="6" spans="1:13">
      <c r="A6" s="104">
        <f>'Акт невозврата Леса'!BO63</f>
        <v>1200</v>
      </c>
      <c r="B6" s="101" t="str">
        <f>SUBSTITUTE(PROPER(INDEX(n_4,MID(TEXT(A6,n0),1,1)+1)&amp;INDEX(n0x,MID(TEXT(A6,n0),2,1)+1,MID(TEXT(A6,n0),3,1)+1)&amp;IF(-MID(TEXT(A6,n0),1,3),"миллиард"&amp;VLOOKUP(MID(TEXT(A6,n0),3,1)*AND(MID(TEXT(A6,n0),2,1)-1),мил,2),"")&amp;INDEX(n_4,MID(TEXT(A6,n0),4,1)+1)&amp;INDEX(n0x,MID(TEXT(A6,n0),5,1)+1,MID(TEXT(A6,n0),6,1)+1)&amp;IF(-MID(TEXT(A6,n0),4,3),"миллион"&amp;VLOOKUP(MID(TEXT(A6,n0),6,1)*AND(MID(TEXT(A6,n0),5,1)-1),мил,2),"")&amp;INDEX(n_4,MID(TEXT(A6,n0),7,1)+1)&amp;INDEX(n1x,MID(TEXT(A6,n0),8,1)+1,MID(TEXT(A6,n0),9,1)+1)&amp;IF(-MID(TEXT(A6,n0),7,3),VLOOKUP(MID(TEXT(A6,n0),9,1)*AND(MID(TEXT(A6,n0),8,1)-1),тыс,2),"")&amp;INDEX(n_4,MID(TEXT(A6,n0),10,1)+1)&amp;INDEX(n0x,MID(TEXT(A6,n0),11,1)+1,MID(TEXT(A6,n0),12,1)+1)),"z"," ")&amp;IF(TRUNC(TEXT(A6,n0)),"","Ноль ")&amp;"рубл"&amp;VLOOKUP(MOD(MAX(MOD(MID(TEXT(A6,n0),11,2)-11,100),9),10),{0,"ь ";1,"я ";4,"ей "},2)&amp;RIGHT(TEXT(A6,n0),2)&amp;" копе"&amp;VLOOKUP(MOD(MAX(MOD(RIGHT(TEXT(A6,n0),2)-11,100),9),10),{0,"йка";1,"йки";4,"ек"},2)</f>
        <v>Одна тысяча двести рублей 00 копеек</v>
      </c>
    </row>
    <row r="7" spans="1:13">
      <c r="A7" s="104">
        <f>'Акт невозврата Леса'!BO64</f>
        <v>0</v>
      </c>
      <c r="B7" s="101" t="str">
        <f>SUBSTITUTE(PROPER(INDEX(n_4,MID(TEXT(A7,n0),1,1)+1)&amp;INDEX(n0x,MID(TEXT(A7,n0),2,1)+1,MID(TEXT(A7,n0),3,1)+1)&amp;IF(-MID(TEXT(A7,n0),1,3),"миллиард"&amp;VLOOKUP(MID(TEXT(A7,n0),3,1)*AND(MID(TEXT(A7,n0),2,1)-1),мил,2),"")&amp;INDEX(n_4,MID(TEXT(A7,n0),4,1)+1)&amp;INDEX(n0x,MID(TEXT(A7,n0),5,1)+1,MID(TEXT(A7,n0),6,1)+1)&amp;IF(-MID(TEXT(A7,n0),4,3),"миллион"&amp;VLOOKUP(MID(TEXT(A7,n0),6,1)*AND(MID(TEXT(A7,n0),5,1)-1),мил,2),"")&amp;INDEX(n_4,MID(TEXT(A7,n0),7,1)+1)&amp;INDEX(n1x,MID(TEXT(A7,n0),8,1)+1,MID(TEXT(A7,n0),9,1)+1)&amp;IF(-MID(TEXT(A7,n0),7,3),VLOOKUP(MID(TEXT(A7,n0),9,1)*AND(MID(TEXT(A7,n0),8,1)-1),тыс,2),"")&amp;INDEX(n_4,MID(TEXT(A7,n0),10,1)+1)&amp;INDEX(n0x,MID(TEXT(A7,n0),11,1)+1,MID(TEXT(A7,n0),12,1)+1)),"z"," ")&amp;IF(TRUNC(TEXT(A7,n0)),"","Ноль ")&amp;"рубл"&amp;VLOOKUP(MOD(MAX(MOD(MID(TEXT(A7,n0),11,2)-11,100),9),10),{0,"ь ";1,"я ";4,"ей "},2)&amp;RIGHT(TEXT(A7,n0),2)&amp;" копе"&amp;VLOOKUP(MOD(MAX(MOD(RIGHT(TEXT(A7,n0),2)-11,100),9),10),{0,"йка";1,"йки";4,"ек"},2)</f>
        <v>Ноль рублей 00 копеек</v>
      </c>
    </row>
    <row r="8" spans="1:13">
      <c r="A8" s="104">
        <f>'Акт невозврата Леса'!BO68</f>
        <v>18970</v>
      </c>
      <c r="B8" s="101" t="str">
        <f>SUBSTITUTE(PROPER(INDEX(n_4,MID(TEXT(A8,n0),1,1)+1)&amp;INDEX(n0x,MID(TEXT(A8,n0),2,1)+1,MID(TEXT(A8,n0),3,1)+1)&amp;IF(-MID(TEXT(A8,n0),1,3),"миллиард"&amp;VLOOKUP(MID(TEXT(A8,n0),3,1)*AND(MID(TEXT(A8,n0),2,1)-1),мил,2),"")&amp;INDEX(n_4,MID(TEXT(A8,n0),4,1)+1)&amp;INDEX(n0x,MID(TEXT(A8,n0),5,1)+1,MID(TEXT(A8,n0),6,1)+1)&amp;IF(-MID(TEXT(A8,n0),4,3),"миллион"&amp;VLOOKUP(MID(TEXT(A8,n0),6,1)*AND(MID(TEXT(A8,n0),5,1)-1),мил,2),"")&amp;INDEX(n_4,MID(TEXT(A8,n0),7,1)+1)&amp;INDEX(n1x,MID(TEXT(A8,n0),8,1)+1,MID(TEXT(A8,n0),9,1)+1)&amp;IF(-MID(TEXT(A8,n0),7,3),VLOOKUP(MID(TEXT(A8,n0),9,1)*AND(MID(TEXT(A8,n0),8,1)-1),тыс,2),"")&amp;INDEX(n_4,MID(TEXT(A8,n0),10,1)+1)&amp;INDEX(n0x,MID(TEXT(A8,n0),11,1)+1,MID(TEXT(A8,n0),12,1)+1)),"z"," ")&amp;IF(TRUNC(TEXT(A8,n0)),"","Ноль ")&amp;"рубл"&amp;VLOOKUP(MOD(MAX(MOD(MID(TEXT(A8,n0),11,2)-11,100),9),10),{0,"ь ";1,"я ";4,"ей "},2)&amp;RIGHT(TEXT(A8,n0),2)&amp;" копе"&amp;VLOOKUP(MOD(MAX(MOD(RIGHT(TEXT(A8,n0),2)-11,100),9),10),{0,"йка";1,"йки";4,"ек"},2)</f>
        <v>Восемнадцать тысяч девятьсот семьдесят рублей 00 копеек</v>
      </c>
    </row>
    <row r="9" spans="1:13">
      <c r="A9" s="104"/>
      <c r="B9" s="101" t="str">
        <f>SUBSTITUTE(PROPER(INDEX(n_4,MID(TEXT(A9,n0),1,1)+1)&amp;INDEX(n0x,MID(TEXT(A9,n0),2,1)+1,MID(TEXT(A9,n0),3,1)+1)&amp;IF(-MID(TEXT(A9,n0),1,3),"миллиард"&amp;VLOOKUP(MID(TEXT(A9,n0),3,1)*AND(MID(TEXT(A9,n0),2,1)-1),мил,2),"")&amp;INDEX(n_4,MID(TEXT(A9,n0),4,1)+1)&amp;INDEX(n0x,MID(TEXT(A9,n0),5,1)+1,MID(TEXT(A9,n0),6,1)+1)&amp;IF(-MID(TEXT(A9,n0),4,3),"миллион"&amp;VLOOKUP(MID(TEXT(A9,n0),6,1)*AND(MID(TEXT(A9,n0),5,1)-1),мил,2),"")&amp;INDEX(n_4,MID(TEXT(A9,n0),7,1)+1)&amp;INDEX(n1x,MID(TEXT(A9,n0),8,1)+1,MID(TEXT(A9,n0),9,1)+1)&amp;IF(-MID(TEXT(A9,n0),7,3),VLOOKUP(MID(TEXT(A9,n0),9,1)*AND(MID(TEXT(A9,n0),8,1)-1),тыс,2),"")&amp;INDEX(n_4,MID(TEXT(A9,n0),10,1)+1)&amp;INDEX(n0x,MID(TEXT(A9,n0),11,1)+1,MID(TEXT(A9,n0),12,1)+1)),"z"," ")&amp;IF(TRUNC(TEXT(A9,n0)),"","Ноль ")&amp;"рубл"&amp;VLOOKUP(MOD(MAX(MOD(MID(TEXT(A9,n0),11,2)-11,100),9),10),{0,"ь ";1,"я ";4,"ей "},2)&amp;RIGHT(TEXT(A9,n0),2)&amp;" копе"&amp;VLOOKUP(MOD(MAX(MOD(RIGHT(TEXT(A9,n0),2)-11,100),9),10),{0,"йка";1,"йки";4,"ек"},2)</f>
        <v>Ноль рублей 00 копеек</v>
      </c>
    </row>
    <row r="10" spans="1:13">
      <c r="A10" s="104">
        <f>'Акт невозврата Вышки'!BO65</f>
        <v>6600</v>
      </c>
      <c r="B10" s="101" t="str">
        <f>SUBSTITUTE(PROPER(INDEX(n_4,MID(TEXT(A10,n0),1,1)+1)&amp;INDEX(n0x,MID(TEXT(A10,n0),2,1)+1,MID(TEXT(A10,n0),3,1)+1)&amp;IF(-MID(TEXT(A10,n0),1,3),"миллиард"&amp;VLOOKUP(MID(TEXT(A10,n0),3,1)*AND(MID(TEXT(A10,n0),2,1)-1),мил,2),"")&amp;INDEX(n_4,MID(TEXT(A10,n0),4,1)+1)&amp;INDEX(n0x,MID(TEXT(A10,n0),5,1)+1,MID(TEXT(A10,n0),6,1)+1)&amp;IF(-MID(TEXT(A10,n0),4,3),"миллион"&amp;VLOOKUP(MID(TEXT(A10,n0),6,1)*AND(MID(TEXT(A10,n0),5,1)-1),мил,2),"")&amp;INDEX(n_4,MID(TEXT(A10,n0),7,1)+1)&amp;INDEX(n1x,MID(TEXT(A10,n0),8,1)+1,MID(TEXT(A10,n0),9,1)+1)&amp;IF(-MID(TEXT(A10,n0),7,3),VLOOKUP(MID(TEXT(A10,n0),9,1)*AND(MID(TEXT(A10,n0),8,1)-1),тыс,2),"")&amp;INDEX(n_4,MID(TEXT(A10,n0),10,1)+1)&amp;INDEX(n0x,MID(TEXT(A10,n0),11,1)+1,MID(TEXT(A10,n0),12,1)+1)),"z"," ")&amp;IF(TRUNC(TEXT(A10,n0)),"","Ноль ")&amp;"рубл"&amp;VLOOKUP(MOD(MAX(MOD(MID(TEXT(A10,n0),11,2)-11,100),9),10),{0,"ь ";1,"я ";4,"ей "},2)&amp;RIGHT(TEXT(A10,n0),2)&amp;" копе"&amp;VLOOKUP(MOD(MAX(MOD(RIGHT(TEXT(A10,n0),2)-11,100),9),10),{0,"йка";1,"йки";4,"ек"},2)</f>
        <v>Шесть тысяч шестьсот рублей 00 копеек</v>
      </c>
    </row>
    <row r="11" spans="1:13">
      <c r="A11" s="104">
        <f>'Акт невозврата Вышки'!BO66</f>
        <v>400</v>
      </c>
      <c r="B11" s="101" t="str">
        <f>SUBSTITUTE(PROPER(INDEX(n_4,MID(TEXT(A11,n0),1,1)+1)&amp;INDEX(n0x,MID(TEXT(A11,n0),2,1)+1,MID(TEXT(A11,n0),3,1)+1)&amp;IF(-MID(TEXT(A11,n0),1,3),"миллиард"&amp;VLOOKUP(MID(TEXT(A11,n0),3,1)*AND(MID(TEXT(A11,n0),2,1)-1),мил,2),"")&amp;INDEX(n_4,MID(TEXT(A11,n0),4,1)+1)&amp;INDEX(n0x,MID(TEXT(A11,n0),5,1)+1,MID(TEXT(A11,n0),6,1)+1)&amp;IF(-MID(TEXT(A11,n0),4,3),"миллион"&amp;VLOOKUP(MID(TEXT(A11,n0),6,1)*AND(MID(TEXT(A11,n0),5,1)-1),мил,2),"")&amp;INDEX(n_4,MID(TEXT(A11,n0),7,1)+1)&amp;INDEX(n1x,MID(TEXT(A11,n0),8,1)+1,MID(TEXT(A11,n0),9,1)+1)&amp;IF(-MID(TEXT(A11,n0),7,3),VLOOKUP(MID(TEXT(A11,n0),9,1)*AND(MID(TEXT(A11,n0),8,1)-1),тыс,2),"")&amp;INDEX(n_4,MID(TEXT(A11,n0),10,1)+1)&amp;INDEX(n0x,MID(TEXT(A11,n0),11,1)+1,MID(TEXT(A11,n0),12,1)+1)),"z"," ")&amp;IF(TRUNC(TEXT(A11,n0)),"","Ноль ")&amp;"рубл"&amp;VLOOKUP(MOD(MAX(MOD(MID(TEXT(A11,n0),11,2)-11,100),9),10),{0,"ь ";1,"я ";4,"ей "},2)&amp;RIGHT(TEXT(A11,n0),2)&amp;" копе"&amp;VLOOKUP(MOD(MAX(MOD(RIGHT(TEXT(A11,n0),2)-11,100),9),10),{0,"йка";1,"йки";4,"ек"},2)</f>
        <v>Четыреста рублей 00 копеек</v>
      </c>
    </row>
    <row r="12" spans="1:13">
      <c r="A12" s="104">
        <f>'Акт невозврата Вышки'!BO67</f>
        <v>0</v>
      </c>
      <c r="B12" s="101" t="str">
        <f>SUBSTITUTE(PROPER(INDEX(n_4,MID(TEXT(A12,n0),1,1)+1)&amp;INDEX(n0x,MID(TEXT(A12,n0),2,1)+1,MID(TEXT(A12,n0),3,1)+1)&amp;IF(-MID(TEXT(A12,n0),1,3),"миллиард"&amp;VLOOKUP(MID(TEXT(A12,n0),3,1)*AND(MID(TEXT(A12,n0),2,1)-1),мил,2),"")&amp;INDEX(n_4,MID(TEXT(A12,n0),4,1)+1)&amp;INDEX(n0x,MID(TEXT(A12,n0),5,1)+1,MID(TEXT(A12,n0),6,1)+1)&amp;IF(-MID(TEXT(A12,n0),4,3),"миллион"&amp;VLOOKUP(MID(TEXT(A12,n0),6,1)*AND(MID(TEXT(A12,n0),5,1)-1),мил,2),"")&amp;INDEX(n_4,MID(TEXT(A12,n0),7,1)+1)&amp;INDEX(n1x,MID(TEXT(A12,n0),8,1)+1,MID(TEXT(A12,n0),9,1)+1)&amp;IF(-MID(TEXT(A12,n0),7,3),VLOOKUP(MID(TEXT(A12,n0),9,1)*AND(MID(TEXT(A12,n0),8,1)-1),тыс,2),"")&amp;INDEX(n_4,MID(TEXT(A12,n0),10,1)+1)&amp;INDEX(n0x,MID(TEXT(A12,n0),11,1)+1,MID(TEXT(A12,n0),12,1)+1)),"z"," ")&amp;IF(TRUNC(TEXT(A12,n0)),"","Ноль ")&amp;"рубл"&amp;VLOOKUP(MOD(MAX(MOD(MID(TEXT(A12,n0),11,2)-11,100),9),10),{0,"ь ";1,"я ";4,"ей "},2)&amp;RIGHT(TEXT(A12,n0),2)&amp;" копе"&amp;VLOOKUP(MOD(MAX(MOD(RIGHT(TEXT(A12,n0),2)-11,100),9),10),{0,"йка";1,"йки";4,"ек"},2)</f>
        <v>Ноль рублей 00 копеек</v>
      </c>
    </row>
    <row r="13" spans="1:13">
      <c r="A13" s="104">
        <f>'Акт невозврата Вышки'!BO72</f>
        <v>7000</v>
      </c>
      <c r="B13" s="101" t="str">
        <f>SUBSTITUTE(PROPER(INDEX(n_4,MID(TEXT(A13,n0),1,1)+1)&amp;INDEX(n0x,MID(TEXT(A13,n0),2,1)+1,MID(TEXT(A13,n0),3,1)+1)&amp;IF(-MID(TEXT(A13,n0),1,3),"миллиард"&amp;VLOOKUP(MID(TEXT(A13,n0),3,1)*AND(MID(TEXT(A13,n0),2,1)-1),мил,2),"")&amp;INDEX(n_4,MID(TEXT(A13,n0),4,1)+1)&amp;INDEX(n0x,MID(TEXT(A13,n0),5,1)+1,MID(TEXT(A13,n0),6,1)+1)&amp;IF(-MID(TEXT(A13,n0),4,3),"миллион"&amp;VLOOKUP(MID(TEXT(A13,n0),6,1)*AND(MID(TEXT(A13,n0),5,1)-1),мил,2),"")&amp;INDEX(n_4,MID(TEXT(A13,n0),7,1)+1)&amp;INDEX(n1x,MID(TEXT(A13,n0),8,1)+1,MID(TEXT(A13,n0),9,1)+1)&amp;IF(-MID(TEXT(A13,n0),7,3),VLOOKUP(MID(TEXT(A13,n0),9,1)*AND(MID(TEXT(A13,n0),8,1)-1),тыс,2),"")&amp;INDEX(n_4,MID(TEXT(A13,n0),10,1)+1)&amp;INDEX(n0x,MID(TEXT(A13,n0),11,1)+1,MID(TEXT(A13,n0),12,1)+1)),"z"," ")&amp;IF(TRUNC(TEXT(A13,n0)),"","Ноль ")&amp;"рубл"&amp;VLOOKUP(MOD(MAX(MOD(MID(TEXT(A13,n0),11,2)-11,100),9),10),{0,"ь ";1,"я ";4,"ей "},2)&amp;RIGHT(TEXT(A13,n0),2)&amp;" копе"&amp;VLOOKUP(MOD(MAX(MOD(RIGHT(TEXT(A13,n0),2)-11,100),9),10),{0,"йка";1,"йки";4,"ек"},2)</f>
        <v>Семь тысяч рублей 00 копеек</v>
      </c>
    </row>
    <row r="14" spans="1:13">
      <c r="A14" s="104"/>
      <c r="B14" s="101" t="str">
        <f>SUBSTITUTE(PROPER(INDEX(n_4,MID(TEXT(A14,n0),1,1)+1)&amp;INDEX(n0x,MID(TEXT(A14,n0),2,1)+1,MID(TEXT(A14,n0),3,1)+1)&amp;IF(-MID(TEXT(A14,n0),1,3),"миллиард"&amp;VLOOKUP(MID(TEXT(A14,n0),3,1)*AND(MID(TEXT(A14,n0),2,1)-1),мил,2),"")&amp;INDEX(n_4,MID(TEXT(A14,n0),4,1)+1)&amp;INDEX(n0x,MID(TEXT(A14,n0),5,1)+1,MID(TEXT(A14,n0),6,1)+1)&amp;IF(-MID(TEXT(A14,n0),4,3),"миллион"&amp;VLOOKUP(MID(TEXT(A14,n0),6,1)*AND(MID(TEXT(A14,n0),5,1)-1),мил,2),"")&amp;INDEX(n_4,MID(TEXT(A14,n0),7,1)+1)&amp;INDEX(n1x,MID(TEXT(A14,n0),8,1)+1,MID(TEXT(A14,n0),9,1)+1)&amp;IF(-MID(TEXT(A14,n0),7,3),VLOOKUP(MID(TEXT(A14,n0),9,1)*AND(MID(TEXT(A14,n0),8,1)-1),тыс,2),"")&amp;INDEX(n_4,MID(TEXT(A14,n0),10,1)+1)&amp;INDEX(n0x,MID(TEXT(A14,n0),11,1)+1,MID(TEXT(A14,n0),12,1)+1)),"z"," ")&amp;IF(TRUNC(TEXT(A14,n0)),"","Ноль ")&amp;"рубл"&amp;VLOOKUP(MOD(MAX(MOD(MID(TEXT(A14,n0),11,2)-11,100),9),10),{0,"ь ";1,"я ";4,"ей "},2)&amp;RIGHT(TEXT(A14,n0),2)&amp;" копе"&amp;VLOOKUP(MOD(MAX(MOD(RIGHT(TEXT(A14,n0),2)-11,100),9),10),{0,"йка";1,"йки";4,"ек"},2)</f>
        <v>Ноль рублей 00 копеек</v>
      </c>
    </row>
    <row r="15" spans="1:13">
      <c r="A15" s="104">
        <v>101.2</v>
      </c>
      <c r="B15" s="101" t="str">
        <f>SUBSTITUTE(PROPER(INDEX(n_4,MID(TEXT(A15,n0),1,1)+1)&amp;INDEX(n0x,MID(TEXT(A15,n0),2,1)+1,MID(TEXT(A15,n0),3,1)+1)&amp;IF(-MID(TEXT(A15,n0),1,3),"миллиард"&amp;VLOOKUP(MID(TEXT(A15,n0),3,1)*AND(MID(TEXT(A15,n0),2,1)-1),мил,2),"")&amp;INDEX(n_4,MID(TEXT(A15,n0),4,1)+1)&amp;INDEX(n0x,MID(TEXT(A15,n0),5,1)+1,MID(TEXT(A15,n0),6,1)+1)&amp;IF(-MID(TEXT(A15,n0),4,3),"миллион"&amp;VLOOKUP(MID(TEXT(A15,n0),6,1)*AND(MID(TEXT(A15,n0),5,1)-1),мил,2),"")&amp;INDEX(n_4,MID(TEXT(A15,n0),7,1)+1)&amp;INDEX(n1x,MID(TEXT(A15,n0),8,1)+1,MID(TEXT(A15,n0),9,1)+1)&amp;IF(-MID(TEXT(A15,n0),7,3),VLOOKUP(MID(TEXT(A15,n0),9,1)*AND(MID(TEXT(A15,n0),8,1)-1),тыс,2),"")&amp;INDEX(n_4,MID(TEXT(A15,n0),10,1)+1)&amp;INDEX(n0x,MID(TEXT(A15,n0),11,1)+1,MID(TEXT(A15,n0),12,1)+1)),"z"," ")&amp;IF(TRUNC(TEXT(A15,n0)),"","Ноль ")&amp;"рубл"&amp;VLOOKUP(MOD(MAX(MOD(MID(TEXT(A15,n0),11,2)-11,100),9),10),{0,"ь ";1,"я ";4,"ей "},2)&amp;RIGHT(TEXT(A15,n0),2)&amp;" копе"&amp;VLOOKUP(MOD(MAX(MOD(RIGHT(TEXT(A15,n0),2)-11,100),9),10),{0,"йка";1,"йки";4,"ек"},2)</f>
        <v>Сто один рубль 20 копеек</v>
      </c>
    </row>
    <row r="16" spans="1:13">
      <c r="A16" s="104">
        <v>121.22</v>
      </c>
      <c r="B16" s="101" t="str">
        <f>SUBSTITUTE(PROPER(INDEX(n_4,MID(TEXT(A16,n0),1,1)+1)&amp;INDEX(n0x,MID(TEXT(A16,n0),2,1)+1,MID(TEXT(A16,n0),3,1)+1)&amp;IF(-MID(TEXT(A16,n0),1,3),"миллиард"&amp;VLOOKUP(MID(TEXT(A16,n0),3,1)*AND(MID(TEXT(A16,n0),2,1)-1),мил,2),"")&amp;INDEX(n_4,MID(TEXT(A16,n0),4,1)+1)&amp;INDEX(n0x,MID(TEXT(A16,n0),5,1)+1,MID(TEXT(A16,n0),6,1)+1)&amp;IF(-MID(TEXT(A16,n0),4,3),"миллион"&amp;VLOOKUP(MID(TEXT(A16,n0),6,1)*AND(MID(TEXT(A16,n0),5,1)-1),мил,2),"")&amp;INDEX(n_4,MID(TEXT(A16,n0),7,1)+1)&amp;INDEX(n1x,MID(TEXT(A16,n0),8,1)+1,MID(TEXT(A16,n0),9,1)+1)&amp;IF(-MID(TEXT(A16,n0),7,3),VLOOKUP(MID(TEXT(A16,n0),9,1)*AND(MID(TEXT(A16,n0),8,1)-1),тыс,2),"")&amp;INDEX(n_4,MID(TEXT(A16,n0),10,1)+1)&amp;INDEX(n0x,MID(TEXT(A16,n0),11,1)+1,MID(TEXT(A16,n0),12,1)+1)),"z"," ")&amp;IF(TRUNC(TEXT(A16,n0)),"","Ноль ")&amp;"рубл"&amp;VLOOKUP(MOD(MAX(MOD(MID(TEXT(A16,n0),11,2)-11,100),9),10),{0,"ь ";1,"я ";4,"ей "},2)&amp;RIGHT(TEXT(A16,n0),2)&amp;" копе"&amp;VLOOKUP(MOD(MAX(MOD(RIGHT(TEXT(A16,n0),2)-11,100),9),10),{0,"йка";1,"йки";4,"ек"},2)</f>
        <v>Сто двадцать один рубль 22 копейки</v>
      </c>
    </row>
    <row r="17" spans="1:16">
      <c r="A17" s="104">
        <v>1000.16</v>
      </c>
      <c r="B17" s="101" t="str">
        <f>SUBSTITUTE(PROPER(INDEX(n_4,MID(TEXT(A17,n0),1,1)+1)&amp;INDEX(n0x,MID(TEXT(A17,n0),2,1)+1,MID(TEXT(A17,n0),3,1)+1)&amp;IF(-MID(TEXT(A17,n0),1,3),"миллиард"&amp;VLOOKUP(MID(TEXT(A17,n0),3,1)*AND(MID(TEXT(A17,n0),2,1)-1),мил,2),"")&amp;INDEX(n_4,MID(TEXT(A17,n0),4,1)+1)&amp;INDEX(n0x,MID(TEXT(A17,n0),5,1)+1,MID(TEXT(A17,n0),6,1)+1)&amp;IF(-MID(TEXT(A17,n0),4,3),"миллион"&amp;VLOOKUP(MID(TEXT(A17,n0),6,1)*AND(MID(TEXT(A17,n0),5,1)-1),мил,2),"")&amp;INDEX(n_4,MID(TEXT(A17,n0),7,1)+1)&amp;INDEX(n1x,MID(TEXT(A17,n0),8,1)+1,MID(TEXT(A17,n0),9,1)+1)&amp;IF(-MID(TEXT(A17,n0),7,3),VLOOKUP(MID(TEXT(A17,n0),9,1)*AND(MID(TEXT(A17,n0),8,1)-1),тыс,2),"")&amp;INDEX(n_4,MID(TEXT(A17,n0),10,1)+1)&amp;INDEX(n0x,MID(TEXT(A17,n0),11,1)+1,MID(TEXT(A17,n0),12,1)+1)),"z"," ")&amp;IF(TRUNC(TEXT(A17,n0)),"","Ноль ")&amp;"рубл"&amp;VLOOKUP(MOD(MAX(MOD(MID(TEXT(A17,n0),11,2)-11,100),9),10),{0,"ь ";1,"я ";4,"ей "},2)&amp;RIGHT(TEXT(A17,n0),2)&amp;" копе"&amp;VLOOKUP(MOD(MAX(MOD(RIGHT(TEXT(A17,n0),2)-11,100),9),10),{0,"йка";1,"йки";4,"ек"},2)</f>
        <v>Одна тысяча рублей 16 копеек</v>
      </c>
    </row>
    <row r="18" spans="1:16">
      <c r="A18" s="104">
        <v>1002.51</v>
      </c>
      <c r="B18" s="101" t="str">
        <f>SUBSTITUTE(PROPER(INDEX(n_4,MID(TEXT(A18,n0),1,1)+1)&amp;INDEX(n0x,MID(TEXT(A18,n0),2,1)+1,MID(TEXT(A18,n0),3,1)+1)&amp;IF(-MID(TEXT(A18,n0),1,3),"миллиард"&amp;VLOOKUP(MID(TEXT(A18,n0),3,1)*AND(MID(TEXT(A18,n0),2,1)-1),мил,2),"")&amp;INDEX(n_4,MID(TEXT(A18,n0),4,1)+1)&amp;INDEX(n0x,MID(TEXT(A18,n0),5,1)+1,MID(TEXT(A18,n0),6,1)+1)&amp;IF(-MID(TEXT(A18,n0),4,3),"миллион"&amp;VLOOKUP(MID(TEXT(A18,n0),6,1)*AND(MID(TEXT(A18,n0),5,1)-1),мил,2),"")&amp;INDEX(n_4,MID(TEXT(A18,n0),7,1)+1)&amp;INDEX(n1x,MID(TEXT(A18,n0),8,1)+1,MID(TEXT(A18,n0),9,1)+1)&amp;IF(-MID(TEXT(A18,n0),7,3),VLOOKUP(MID(TEXT(A18,n0),9,1)*AND(MID(TEXT(A18,n0),8,1)-1),тыс,2),"")&amp;INDEX(n_4,MID(TEXT(A18,n0),10,1)+1)&amp;INDEX(n0x,MID(TEXT(A18,n0),11,1)+1,MID(TEXT(A18,n0),12,1)+1)),"z"," ")&amp;IF(TRUNC(TEXT(A18,n0)),"","Ноль ")&amp;"рубл"&amp;VLOOKUP(MOD(MAX(MOD(MID(TEXT(A18,n0),11,2)-11,100),9),10),{0,"ь ";1,"я ";4,"ей "},2)&amp;RIGHT(TEXT(A18,n0),2)&amp;" копе"&amp;VLOOKUP(MOD(MAX(MOD(RIGHT(TEXT(A18,n0),2)-11,100),9),10),{0,"йка";1,"йки";4,"ек"},2)</f>
        <v>Одна тысяча два рубля 51 копейка</v>
      </c>
    </row>
    <row r="19" spans="1:16">
      <c r="A19" s="104">
        <v>120101.1</v>
      </c>
      <c r="B19" s="101" t="str">
        <f>SUBSTITUTE(PROPER(INDEX(n_4,MID(TEXT(A19,n0),1,1)+1)&amp;INDEX(n0x,MID(TEXT(A19,n0),2,1)+1,MID(TEXT(A19,n0),3,1)+1)&amp;IF(-MID(TEXT(A19,n0),1,3),"миллиард"&amp;VLOOKUP(MID(TEXT(A19,n0),3,1)*AND(MID(TEXT(A19,n0),2,1)-1),мил,2),"")&amp;INDEX(n_4,MID(TEXT(A19,n0),4,1)+1)&amp;INDEX(n0x,MID(TEXT(A19,n0),5,1)+1,MID(TEXT(A19,n0),6,1)+1)&amp;IF(-MID(TEXT(A19,n0),4,3),"миллион"&amp;VLOOKUP(MID(TEXT(A19,n0),6,1)*AND(MID(TEXT(A19,n0),5,1)-1),мил,2),"")&amp;INDEX(n_4,MID(TEXT(A19,n0),7,1)+1)&amp;INDEX(n1x,MID(TEXT(A19,n0),8,1)+1,MID(TEXT(A19,n0),9,1)+1)&amp;IF(-MID(TEXT(A19,n0),7,3),VLOOKUP(MID(TEXT(A19,n0),9,1)*AND(MID(TEXT(A19,n0),8,1)-1),тыс,2),"")&amp;INDEX(n_4,MID(TEXT(A19,n0),10,1)+1)&amp;INDEX(n0x,MID(TEXT(A19,n0),11,1)+1,MID(TEXT(A19,n0),12,1)+1)),"z"," ")&amp;IF(TRUNC(TEXT(A19,n0)),"","Ноль ")&amp;"рубл"&amp;VLOOKUP(MOD(MAX(MOD(MID(TEXT(A19,n0),11,2)-11,100),9),10),{0,"ь ";1,"я ";4,"ей "},2)&amp;RIGHT(TEXT(A19,n0),2)&amp;" копе"&amp;VLOOKUP(MOD(MAX(MOD(RIGHT(TEXT(A19,n0),2)-11,100),9),10),{0,"йка";1,"йки";4,"ек"},2)</f>
        <v>Сто двадцать тысяч сто один рубль 10 копеек</v>
      </c>
    </row>
    <row r="20" spans="1:16">
      <c r="A20" s="104">
        <v>2000000</v>
      </c>
      <c r="B20" s="101" t="str">
        <f>SUBSTITUTE(PROPER(INDEX(n_4,MID(TEXT(A20,n0),1,1)+1)&amp;INDEX(n0x,MID(TEXT(A20,n0),2,1)+1,MID(TEXT(A20,n0),3,1)+1)&amp;IF(-MID(TEXT(A20,n0),1,3),"миллиард"&amp;VLOOKUP(MID(TEXT(A20,n0),3,1)*AND(MID(TEXT(A20,n0),2,1)-1),мил,2),"")&amp;INDEX(n_4,MID(TEXT(A20,n0),4,1)+1)&amp;INDEX(n0x,MID(TEXT(A20,n0),5,1)+1,MID(TEXT(A20,n0),6,1)+1)&amp;IF(-MID(TEXT(A20,n0),4,3),"миллион"&amp;VLOOKUP(MID(TEXT(A20,n0),6,1)*AND(MID(TEXT(A20,n0),5,1)-1),мил,2),"")&amp;INDEX(n_4,MID(TEXT(A20,n0),7,1)+1)&amp;INDEX(n1x,MID(TEXT(A20,n0),8,1)+1,MID(TEXT(A20,n0),9,1)+1)&amp;IF(-MID(TEXT(A20,n0),7,3),VLOOKUP(MID(TEXT(A20,n0),9,1)*AND(MID(TEXT(A20,n0),8,1)-1),тыс,2),"")&amp;INDEX(n_4,MID(TEXT(A20,n0),10,1)+1)&amp;INDEX(n0x,MID(TEXT(A20,n0),11,1)+1,MID(TEXT(A20,n0),12,1)+1)),"z"," ")&amp;IF(TRUNC(TEXT(A20,n0)),"","Ноль ")&amp;"рубл"&amp;VLOOKUP(MOD(MAX(MOD(MID(TEXT(A20,n0),11,2)-11,100),9),10),{0,"ь ";1,"я ";4,"ей "},2)&amp;RIGHT(TEXT(A20,n0),2)&amp;" копе"&amp;VLOOKUP(MOD(MAX(MOD(RIGHT(TEXT(A20,n0),2)-11,100),9),10),{0,"йка";1,"йки";4,"ек"},2)</f>
        <v>Два миллиона рублей 00 копеек</v>
      </c>
    </row>
    <row r="21" spans="1:16">
      <c r="A21" s="104">
        <v>11102345.23</v>
      </c>
      <c r="B21" s="101" t="str">
        <f>SUBSTITUTE(PROPER(INDEX(n_4,MID(TEXT(A21,n0),1,1)+1)&amp;INDEX(n0x,MID(TEXT(A21,n0),2,1)+1,MID(TEXT(A21,n0),3,1)+1)&amp;IF(-MID(TEXT(A21,n0),1,3),"миллиард"&amp;VLOOKUP(MID(TEXT(A21,n0),3,1)*AND(MID(TEXT(A21,n0),2,1)-1),мил,2),"")&amp;INDEX(n_4,MID(TEXT(A21,n0),4,1)+1)&amp;INDEX(n0x,MID(TEXT(A21,n0),5,1)+1,MID(TEXT(A21,n0),6,1)+1)&amp;IF(-MID(TEXT(A21,n0),4,3),"миллион"&amp;VLOOKUP(MID(TEXT(A21,n0),6,1)*AND(MID(TEXT(A21,n0),5,1)-1),мил,2),"")&amp;INDEX(n_4,MID(TEXT(A21,n0),7,1)+1)&amp;INDEX(n1x,MID(TEXT(A21,n0),8,1)+1,MID(TEXT(A21,n0),9,1)+1)&amp;IF(-MID(TEXT(A21,n0),7,3),VLOOKUP(MID(TEXT(A21,n0),9,1)*AND(MID(TEXT(A21,n0),8,1)-1),тыс,2),"")&amp;INDEX(n_4,MID(TEXT(A21,n0),10,1)+1)&amp;INDEX(n0x,MID(TEXT(A21,n0),11,1)+1,MID(TEXT(A21,n0),12,1)+1)),"z"," ")&amp;IF(TRUNC(TEXT(A21,n0)),"","Ноль ")&amp;"рубл"&amp;VLOOKUP(MOD(MAX(MOD(MID(TEXT(A21,n0),11,2)-11,100),9),10),{0,"ь ";1,"я ";4,"ей "},2)&amp;RIGHT(TEXT(A21,n0),2)&amp;" копе"&amp;VLOOKUP(MOD(MAX(MOD(RIGHT(TEXT(A21,n0),2)-11,100),9),10),{0,"йка";1,"йки";4,"ек"},2)</f>
        <v>Одиннадцать миллионов сто две тысячи триста сорок пять рублей 23 копейки</v>
      </c>
    </row>
    <row r="22" spans="1:16">
      <c r="A22" s="104">
        <v>123456789.31999999</v>
      </c>
      <c r="B22" s="101" t="str">
        <f>SUBSTITUTE(PROPER(INDEX(n_4,MID(TEXT(A22,n0),1,1)+1)&amp;INDEX(n0x,MID(TEXT(A22,n0),2,1)+1,MID(TEXT(A22,n0),3,1)+1)&amp;IF(-MID(TEXT(A22,n0),1,3),"миллиард"&amp;VLOOKUP(MID(TEXT(A22,n0),3,1)*AND(MID(TEXT(A22,n0),2,1)-1),мил,2),"")&amp;INDEX(n_4,MID(TEXT(A22,n0),4,1)+1)&amp;INDEX(n0x,MID(TEXT(A22,n0),5,1)+1,MID(TEXT(A22,n0),6,1)+1)&amp;IF(-MID(TEXT(A22,n0),4,3),"миллион"&amp;VLOOKUP(MID(TEXT(A22,n0),6,1)*AND(MID(TEXT(A22,n0),5,1)-1),мил,2),"")&amp;INDEX(n_4,MID(TEXT(A22,n0),7,1)+1)&amp;INDEX(n1x,MID(TEXT(A22,n0),8,1)+1,MID(TEXT(A22,n0),9,1)+1)&amp;IF(-MID(TEXT(A22,n0),7,3),VLOOKUP(MID(TEXT(A22,n0),9,1)*AND(MID(TEXT(A22,n0),8,1)-1),тыс,2),"")&amp;INDEX(n_4,MID(TEXT(A22,n0),10,1)+1)&amp;INDEX(n0x,MID(TEXT(A22,n0),11,1)+1,MID(TEXT(A22,n0),12,1)+1)),"z"," ")&amp;IF(TRUNC(TEXT(A22,n0)),"","Ноль ")&amp;"рубл"&amp;VLOOKUP(MOD(MAX(MOD(MID(TEXT(A22,n0),11,2)-11,100),9),10),{0,"ь ";1,"я ";4,"ей "},2)&amp;RIGHT(TEXT(A22,n0),2)&amp;" копе"&amp;VLOOKUP(MOD(MAX(MOD(RIGHT(TEXT(A22,n0),2)-11,100),9),10),{0,"йка";1,"йки";4,"ек"},2)</f>
        <v>Сто двадцать три миллиона четыреста пятьдесят шесть тысяч семьсот восемьдесят девять рублей 32 копейки</v>
      </c>
    </row>
    <row r="23" spans="1:16">
      <c r="A23" s="104"/>
      <c r="B23" s="101"/>
      <c r="P23" s="106"/>
    </row>
    <row r="24" spans="1:16" s="105" customFormat="1">
      <c r="A24" s="107" t="s">
        <v>142</v>
      </c>
      <c r="J24"/>
      <c r="K24"/>
      <c r="L24"/>
      <c r="M24"/>
    </row>
    <row r="25" spans="1:16">
      <c r="A25" s="104">
        <f ca="1">ROUND((RAND()*1000000),2)</f>
        <v>943103.78</v>
      </c>
      <c r="B25" s="101" t="str">
        <f ca="1">SUBSTITUTE(PROPER(INDEX(n_4,MID(TEXT(A25,n0),1,1)+1)&amp;INDEX(n0x,MID(TEXT(A25,n0),2,1)+1,MID(TEXT(A25,n0),3,1)+1)&amp;IF(-MID(TEXT(A25,n0),1,3),"миллиард"&amp;VLOOKUP(MID(TEXT(A25,n0),3,1)*AND(MID(TEXT(A25,n0),2,1)-1),мил,2),"")&amp;INDEX(n_4,MID(TEXT(A25,n0),4,1)+1)&amp;INDEX(n0x,MID(TEXT(A25,n0),5,1)+1,MID(TEXT(A25,n0),6,1)+1)&amp;IF(-MID(TEXT(A25,n0),4,3),"миллион"&amp;VLOOKUP(MID(TEXT(A25,n0),6,1)*AND(MID(TEXT(A25,n0),5,1)-1),мил,2),"")&amp;INDEX(n_4,MID(TEXT(A25,n0),7,1)+1)&amp;INDEX(n1x,MID(TEXT(A25,n0),8,1)+1,MID(TEXT(A25,n0),9,1)+1)&amp;IF(-MID(TEXT(A25,n0),7,3),VLOOKUP(MID(TEXT(A25,n0),9,1)*AND(MID(TEXT(A25,n0),8,1)-1),тыс,2),"")&amp;INDEX(n_4,MID(TEXT(A25,n0),10,1)+1)&amp;INDEX(n0x,MID(TEXT(A25,n0),11,1)+1,MID(TEXT(A25,n0),12,1)+1)),"z"," ")&amp;IF(TRUNC(TEXT(A25,n0)),"","Ноль ")&amp;"рубл"&amp;VLOOKUP(MOD(MAX(MOD(MID(TEXT(A25,n0),11,2)-11,100),9),10),{0,"ь ";1,"я ";4,"ей "},2)&amp;RIGHT(TEXT(A25,n0),2)&amp;" копе"&amp;VLOOKUP(MOD(MAX(MOD(RIGHT(TEXT(A25,n0),2)-11,100),9),10),{0,"йка";1,"йки";4,"ек"},2)</f>
        <v>Девятьсот сорок три тысячи сто три рубля 78 копеек</v>
      </c>
    </row>
    <row r="26" spans="1:16">
      <c r="A26" s="104">
        <f ca="1">ROUND((RAND()*10000000),2)</f>
        <v>2279588.29</v>
      </c>
      <c r="B26" s="101" t="str">
        <f ca="1">SUBSTITUTE(PROPER(INDEX(n_4,MID(TEXT(A26,n0),1,1)+1)&amp;INDEX(n0x,MID(TEXT(A26,n0),2,1)+1,MID(TEXT(A26,n0),3,1)+1)&amp;IF(-MID(TEXT(A26,n0),1,3),"миллиард"&amp;VLOOKUP(MID(TEXT(A26,n0),3,1)*AND(MID(TEXT(A26,n0),2,1)-1),мил,2),"")&amp;INDEX(n_4,MID(TEXT(A26,n0),4,1)+1)&amp;INDEX(n0x,MID(TEXT(A26,n0),5,1)+1,MID(TEXT(A26,n0),6,1)+1)&amp;IF(-MID(TEXT(A26,n0),4,3),"миллион"&amp;VLOOKUP(MID(TEXT(A26,n0),6,1)*AND(MID(TEXT(A26,n0),5,1)-1),мил,2),"")&amp;INDEX(n_4,MID(TEXT(A26,n0),7,1)+1)&amp;INDEX(n1x,MID(TEXT(A26,n0),8,1)+1,MID(TEXT(A26,n0),9,1)+1)&amp;IF(-MID(TEXT(A26,n0),7,3),VLOOKUP(MID(TEXT(A26,n0),9,1)*AND(MID(TEXT(A26,n0),8,1)-1),тыс,2),"")&amp;INDEX(n_4,MID(TEXT(A26,n0),10,1)+1)&amp;INDEX(n0x,MID(TEXT(A26,n0),11,1)+1,MID(TEXT(A26,n0),12,1)+1)),"z"," ")&amp;IF(TRUNC(TEXT(A26,n0)),"","Ноль ")&amp;"рубл"&amp;VLOOKUP(MOD(MAX(MOD(MID(TEXT(A26,n0),11,2)-11,100),9),10),{0,"ь ";1,"я ";4,"ей "},2)&amp;RIGHT(TEXT(A26,n0),2)&amp;" копе"&amp;VLOOKUP(MOD(MAX(MOD(RIGHT(TEXT(A26,n0),2)-11,100),9),10),{0,"йка";1,"йки";4,"ек"},2)</f>
        <v>Два миллиона двести семьдесят девять тысяч пятьсот восемьдесят восемь рублей 29 копеек</v>
      </c>
    </row>
    <row r="27" spans="1:16">
      <c r="A27" s="104">
        <f ca="1">ROUND((RAND()*100000000),2)</f>
        <v>85104981.640000001</v>
      </c>
      <c r="B27" s="101" t="str">
        <f ca="1">SUBSTITUTE(PROPER(INDEX(n_4,MID(TEXT(A27,n0),1,1)+1)&amp;INDEX(n0x,MID(TEXT(A27,n0),2,1)+1,MID(TEXT(A27,n0),3,1)+1)&amp;IF(-MID(TEXT(A27,n0),1,3),"миллиард"&amp;VLOOKUP(MID(TEXT(A27,n0),3,1)*AND(MID(TEXT(A27,n0),2,1)-1),мил,2),"")&amp;INDEX(n_4,MID(TEXT(A27,n0),4,1)+1)&amp;INDEX(n0x,MID(TEXT(A27,n0),5,1)+1,MID(TEXT(A27,n0),6,1)+1)&amp;IF(-MID(TEXT(A27,n0),4,3),"миллион"&amp;VLOOKUP(MID(TEXT(A27,n0),6,1)*AND(MID(TEXT(A27,n0),5,1)-1),мил,2),"")&amp;INDEX(n_4,MID(TEXT(A27,n0),7,1)+1)&amp;INDEX(n1x,MID(TEXT(A27,n0),8,1)+1,MID(TEXT(A27,n0),9,1)+1)&amp;IF(-MID(TEXT(A27,n0),7,3),VLOOKUP(MID(TEXT(A27,n0),9,1)*AND(MID(TEXT(A27,n0),8,1)-1),тыс,2),"")&amp;INDEX(n_4,MID(TEXT(A27,n0),10,1)+1)&amp;INDEX(n0x,MID(TEXT(A27,n0),11,1)+1,MID(TEXT(A27,n0),12,1)+1)),"z"," ")&amp;IF(TRUNC(TEXT(A27,n0)),"","Ноль ")&amp;"рубл"&amp;VLOOKUP(MOD(MAX(MOD(MID(TEXT(A27,n0),11,2)-11,100),9),10),{0,"ь ";1,"я ";4,"ей "},2)&amp;RIGHT(TEXT(A27,n0),2)&amp;" копе"&amp;VLOOKUP(MOD(MAX(MOD(RIGHT(TEXT(A27,n0),2)-11,100),9),10),{0,"йка";1,"йки";4,"ек"},2)</f>
        <v>Восемьдесят пять миллионов сто четыре тысячи девятьсот восемьдесят один рубль 64 копейки</v>
      </c>
    </row>
    <row r="28" spans="1:16">
      <c r="A28" s="104">
        <f ca="1">ROUND((RAND()*1000000000),2)</f>
        <v>964785090.11000001</v>
      </c>
      <c r="B28" s="101" t="str">
        <f ca="1">SUBSTITUTE(PROPER(INDEX(n_4,MID(TEXT(A28,n0),1,1)+1)&amp;INDEX(n0x,MID(TEXT(A28,n0),2,1)+1,MID(TEXT(A28,n0),3,1)+1)&amp;IF(-MID(TEXT(A28,n0),1,3),"миллиард"&amp;VLOOKUP(MID(TEXT(A28,n0),3,1)*AND(MID(TEXT(A28,n0),2,1)-1),мил,2),"")&amp;INDEX(n_4,MID(TEXT(A28,n0),4,1)+1)&amp;INDEX(n0x,MID(TEXT(A28,n0),5,1)+1,MID(TEXT(A28,n0),6,1)+1)&amp;IF(-MID(TEXT(A28,n0),4,3),"миллион"&amp;VLOOKUP(MID(TEXT(A28,n0),6,1)*AND(MID(TEXT(A28,n0),5,1)-1),мил,2),"")&amp;INDEX(n_4,MID(TEXT(A28,n0),7,1)+1)&amp;INDEX(n1x,MID(TEXT(A28,n0),8,1)+1,MID(TEXT(A28,n0),9,1)+1)&amp;IF(-MID(TEXT(A28,n0),7,3),VLOOKUP(MID(TEXT(A28,n0),9,1)*AND(MID(TEXT(A28,n0),8,1)-1),тыс,2),"")&amp;INDEX(n_4,MID(TEXT(A28,n0),10,1)+1)&amp;INDEX(n0x,MID(TEXT(A28,n0),11,1)+1,MID(TEXT(A28,n0),12,1)+1)),"z"," ")&amp;IF(TRUNC(TEXT(A28,n0)),"","Ноль ")&amp;"рубл"&amp;VLOOKUP(MOD(MAX(MOD(MID(TEXT(A28,n0),11,2)-11,100),9),10),{0,"ь ";1,"я ";4,"ей "},2)&amp;RIGHT(TEXT(A28,n0),2)&amp;" копе"&amp;VLOOKUP(MOD(MAX(MOD(RIGHT(TEXT(A28,n0),2)-11,100),9),10),{0,"йка";1,"йки";4,"ек"},2)</f>
        <v>Девятьсот шестьдесят четыре миллиона семьсот восемьдесят пять тысяч девяносто рублей 11 копеек</v>
      </c>
    </row>
    <row r="29" spans="1:16">
      <c r="A29" s="104">
        <f ca="1">ROUND((RAND()*1000000000000),2)</f>
        <v>340548567827.94</v>
      </c>
      <c r="B29" s="101" t="str">
        <f ca="1">SUBSTITUTE(PROPER(INDEX(n_4,MID(TEXT(A29,n0),1,1)+1)&amp;INDEX(n0x,MID(TEXT(A29,n0),2,1)+1,MID(TEXT(A29,n0),3,1)+1)&amp;IF(-MID(TEXT(A29,n0),1,3),"миллиард"&amp;VLOOKUP(MID(TEXT(A29,n0),3,1)*AND(MID(TEXT(A29,n0),2,1)-1),мил,2),"")&amp;INDEX(n_4,MID(TEXT(A29,n0),4,1)+1)&amp;INDEX(n0x,MID(TEXT(A29,n0),5,1)+1,MID(TEXT(A29,n0),6,1)+1)&amp;IF(-MID(TEXT(A29,n0),4,3),"миллион"&amp;VLOOKUP(MID(TEXT(A29,n0),6,1)*AND(MID(TEXT(A29,n0),5,1)-1),мил,2),"")&amp;INDEX(n_4,MID(TEXT(A29,n0),7,1)+1)&amp;INDEX(n1x,MID(TEXT(A29,n0),8,1)+1,MID(TEXT(A29,n0),9,1)+1)&amp;IF(-MID(TEXT(A29,n0),7,3),VLOOKUP(MID(TEXT(A29,n0),9,1)*AND(MID(TEXT(A29,n0),8,1)-1),тыс,2),"")&amp;INDEX(n_4,MID(TEXT(A29,n0),10,1)+1)&amp;INDEX(n0x,MID(TEXT(A29,n0),11,1)+1,MID(TEXT(A29,n0),12,1)+1)),"z"," ")&amp;IF(TRUNC(TEXT(A29,n0)),"","Ноль ")&amp;"рубл"&amp;VLOOKUP(MOD(MAX(MOD(MID(TEXT(A29,n0),11,2)-11,100),9),10),{0,"ь ";1,"я ";4,"ей "},2)&amp;RIGHT(TEXT(A29,n0),2)&amp;" копе"&amp;VLOOKUP(MOD(MAX(MOD(RIGHT(TEXT(A29,n0),2)-11,100),9),10),{0,"йка";1,"йки";4,"ек"},2)</f>
        <v>Триста сорок миллиардов пятьсот сорок восемь миллионов пятьсот шестьдесят семь тысяч восемьсот двадцать семь рублей 94 копейки</v>
      </c>
    </row>
    <row r="30" spans="1:16">
      <c r="A30" s="104"/>
      <c r="B30" s="103"/>
    </row>
    <row r="31" spans="1:16">
      <c r="A31" s="105" t="s">
        <v>143</v>
      </c>
      <c r="B31" s="108" t="s">
        <v>144</v>
      </c>
    </row>
    <row r="32" spans="1:16">
      <c r="A32" s="105" t="s">
        <v>145</v>
      </c>
      <c r="B32" s="109">
        <f>LEN(B31)</f>
        <v>986</v>
      </c>
    </row>
    <row r="33" spans="1:3">
      <c r="A33" s="105" t="s">
        <v>146</v>
      </c>
      <c r="B33" s="110" t="s">
        <v>147</v>
      </c>
    </row>
    <row r="34" spans="1:3">
      <c r="A34" s="105" t="s">
        <v>145</v>
      </c>
      <c r="B34" s="109">
        <f>LEN(B33)</f>
        <v>933</v>
      </c>
    </row>
    <row r="35" spans="1:3">
      <c r="B35" s="109"/>
    </row>
    <row r="36" spans="1:3">
      <c r="A36" s="105" t="s">
        <v>148</v>
      </c>
      <c r="B36" s="111" t="s">
        <v>149</v>
      </c>
      <c r="C36" s="111" t="s">
        <v>150</v>
      </c>
    </row>
    <row r="37" spans="1:3">
      <c r="B37" s="111" t="s">
        <v>151</v>
      </c>
      <c r="C37" s="111" t="s">
        <v>152</v>
      </c>
    </row>
    <row r="38" spans="1:3">
      <c r="B38" s="111" t="s">
        <v>153</v>
      </c>
      <c r="C38" s="111" t="s">
        <v>154</v>
      </c>
    </row>
    <row r="39" spans="1:3">
      <c r="B39" s="111" t="s">
        <v>155</v>
      </c>
      <c r="C39" s="111" t="s">
        <v>156</v>
      </c>
    </row>
    <row r="40" spans="1:3">
      <c r="B40" s="111" t="s">
        <v>157</v>
      </c>
      <c r="C40" s="111" t="s">
        <v>158</v>
      </c>
    </row>
    <row r="41" spans="1:3">
      <c r="B41" s="111" t="s">
        <v>159</v>
      </c>
      <c r="C41" s="111" t="s">
        <v>160</v>
      </c>
    </row>
    <row r="42" spans="1:3">
      <c r="B42" s="111" t="s">
        <v>161</v>
      </c>
      <c r="C42" s="111" t="s">
        <v>162</v>
      </c>
    </row>
    <row r="43" spans="1:3">
      <c r="B43" s="111" t="s">
        <v>163</v>
      </c>
      <c r="C43" s="111" t="s">
        <v>164</v>
      </c>
    </row>
    <row r="44" spans="1:3">
      <c r="B44" s="111" t="s">
        <v>165</v>
      </c>
      <c r="C44" s="111" t="s">
        <v>166</v>
      </c>
    </row>
    <row r="45" spans="1:3">
      <c r="B45" s="111" t="s">
        <v>167</v>
      </c>
      <c r="C45" s="111" t="s">
        <v>168</v>
      </c>
    </row>
    <row r="46" spans="1:3">
      <c r="C46" s="106"/>
    </row>
    <row r="48" spans="1:3">
      <c r="C48" s="106"/>
    </row>
    <row r="49" spans="3:3">
      <c r="C49" s="106"/>
    </row>
    <row r="50" spans="3:3">
      <c r="C50" s="10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2:U19"/>
  <sheetViews>
    <sheetView workbookViewId="0">
      <selection activeCell="O4" sqref="O4:O6"/>
    </sheetView>
  </sheetViews>
  <sheetFormatPr defaultRowHeight="15"/>
  <cols>
    <col min="1" max="1" width="11.7109375" bestFit="1" customWidth="1"/>
    <col min="2" max="2" width="15.7109375" customWidth="1"/>
    <col min="3" max="3" width="10" bestFit="1" customWidth="1"/>
    <col min="4" max="4" width="13.28515625" bestFit="1" customWidth="1"/>
    <col min="5" max="5" width="10.28515625" bestFit="1" customWidth="1"/>
    <col min="6" max="6" width="8" bestFit="1" customWidth="1"/>
    <col min="7" max="7" width="8.28515625" bestFit="1" customWidth="1"/>
    <col min="8" max="8" width="12.7109375" bestFit="1" customWidth="1"/>
    <col min="10" max="11" width="1.28515625" customWidth="1"/>
    <col min="12" max="12" width="9.28515625" hidden="1" customWidth="1"/>
  </cols>
  <sheetData>
    <row r="2" spans="1:21">
      <c r="M2" s="814" t="s">
        <v>343</v>
      </c>
      <c r="N2" s="814"/>
      <c r="O2" s="814"/>
      <c r="P2" s="814"/>
      <c r="Q2" s="814"/>
      <c r="R2" s="814"/>
      <c r="S2" s="814"/>
      <c r="T2" s="814"/>
      <c r="U2" s="814"/>
    </row>
    <row r="3" spans="1:21" ht="51.75">
      <c r="A3" s="51"/>
      <c r="B3" s="51" t="s">
        <v>5</v>
      </c>
      <c r="C3" s="51" t="s">
        <v>6</v>
      </c>
      <c r="D3" s="51" t="s">
        <v>7</v>
      </c>
      <c r="E3" s="51" t="s">
        <v>8</v>
      </c>
      <c r="F3" s="64" t="s">
        <v>77</v>
      </c>
      <c r="G3" s="51" t="s">
        <v>9</v>
      </c>
      <c r="H3" s="51" t="s">
        <v>10</v>
      </c>
      <c r="M3" s="51"/>
      <c r="N3" s="51" t="s">
        <v>5</v>
      </c>
      <c r="O3" s="51" t="s">
        <v>344</v>
      </c>
      <c r="P3" s="51" t="s">
        <v>6</v>
      </c>
      <c r="Q3" s="51" t="s">
        <v>7</v>
      </c>
      <c r="R3" s="51" t="s">
        <v>8</v>
      </c>
      <c r="S3" s="51" t="s">
        <v>77</v>
      </c>
      <c r="T3" s="51" t="s">
        <v>9</v>
      </c>
      <c r="U3" s="51" t="s">
        <v>10</v>
      </c>
    </row>
    <row r="4" spans="1:21">
      <c r="A4" s="52">
        <v>1</v>
      </c>
      <c r="B4" s="53" t="s">
        <v>18</v>
      </c>
      <c r="C4" s="54">
        <v>5</v>
      </c>
      <c r="D4" s="54">
        <v>3.5</v>
      </c>
      <c r="E4" s="54">
        <v>3</v>
      </c>
      <c r="F4" s="54">
        <v>2.5</v>
      </c>
      <c r="G4" s="55">
        <v>2</v>
      </c>
      <c r="H4" s="55">
        <v>1.8</v>
      </c>
      <c r="M4" s="52">
        <v>1</v>
      </c>
      <c r="N4" s="53" t="s">
        <v>18</v>
      </c>
      <c r="O4" s="53">
        <v>10</v>
      </c>
      <c r="P4" s="54">
        <v>6</v>
      </c>
      <c r="Q4" s="54">
        <v>4.5</v>
      </c>
      <c r="R4" s="54">
        <v>3.2</v>
      </c>
      <c r="S4" s="54">
        <v>2.5</v>
      </c>
      <c r="T4" s="55">
        <v>2</v>
      </c>
      <c r="U4" s="55">
        <v>1.6</v>
      </c>
    </row>
    <row r="5" spans="1:21">
      <c r="A5" s="52">
        <v>2</v>
      </c>
      <c r="B5" s="53" t="s">
        <v>23</v>
      </c>
      <c r="C5" s="54">
        <v>4.5</v>
      </c>
      <c r="D5" s="54">
        <v>3</v>
      </c>
      <c r="E5" s="54">
        <v>2.5</v>
      </c>
      <c r="F5" s="54">
        <v>2</v>
      </c>
      <c r="G5" s="54">
        <v>1.8</v>
      </c>
      <c r="H5" s="55">
        <v>1.6</v>
      </c>
      <c r="M5" s="52">
        <v>2</v>
      </c>
      <c r="N5" s="53" t="s">
        <v>23</v>
      </c>
      <c r="O5" s="53">
        <v>8</v>
      </c>
      <c r="P5" s="54">
        <v>5</v>
      </c>
      <c r="Q5" s="54">
        <v>3.7</v>
      </c>
      <c r="R5" s="54">
        <v>2.7</v>
      </c>
      <c r="S5" s="54">
        <v>2</v>
      </c>
      <c r="T5" s="54">
        <v>1.65</v>
      </c>
      <c r="U5" s="55">
        <v>1.4</v>
      </c>
    </row>
    <row r="6" spans="1:21">
      <c r="A6" s="52">
        <v>3</v>
      </c>
      <c r="B6" s="53" t="s">
        <v>25</v>
      </c>
      <c r="C6" s="55">
        <v>3.5</v>
      </c>
      <c r="D6" s="54">
        <v>2.5</v>
      </c>
      <c r="E6" s="54">
        <v>2.1</v>
      </c>
      <c r="F6" s="54">
        <v>1.8</v>
      </c>
      <c r="G6" s="54">
        <v>1.6</v>
      </c>
      <c r="H6" s="54">
        <v>1.4</v>
      </c>
      <c r="M6" s="52">
        <v>3</v>
      </c>
      <c r="N6" s="53" t="s">
        <v>25</v>
      </c>
      <c r="O6" s="53">
        <v>5</v>
      </c>
      <c r="P6" s="55">
        <v>4</v>
      </c>
      <c r="Q6" s="54">
        <v>2.8</v>
      </c>
      <c r="R6" s="54">
        <v>2.1</v>
      </c>
      <c r="S6" s="54">
        <v>1.7</v>
      </c>
      <c r="T6" s="54">
        <v>1.45</v>
      </c>
      <c r="U6" s="54">
        <v>1.25</v>
      </c>
    </row>
    <row r="7" spans="1:21">
      <c r="A7" s="52">
        <v>4</v>
      </c>
      <c r="B7" s="53" t="s">
        <v>28</v>
      </c>
      <c r="C7" s="55">
        <v>3</v>
      </c>
      <c r="D7" s="55">
        <v>2</v>
      </c>
      <c r="E7" s="54">
        <v>1.7</v>
      </c>
      <c r="F7" s="54">
        <v>1.6</v>
      </c>
      <c r="G7" s="54">
        <v>1.4</v>
      </c>
      <c r="H7" s="54">
        <v>1.2</v>
      </c>
      <c r="M7" s="52">
        <v>4</v>
      </c>
      <c r="N7" s="53" t="s">
        <v>28</v>
      </c>
      <c r="O7" s="53"/>
      <c r="P7" s="55">
        <v>3</v>
      </c>
      <c r="Q7" s="55">
        <v>2</v>
      </c>
      <c r="R7" s="54">
        <v>1.65</v>
      </c>
      <c r="S7" s="54">
        <v>1.5</v>
      </c>
      <c r="T7" s="54">
        <v>1.3</v>
      </c>
      <c r="U7" s="54">
        <v>1.1000000000000001</v>
      </c>
    </row>
    <row r="8" spans="1:21">
      <c r="A8" s="52">
        <v>5</v>
      </c>
      <c r="B8" s="53" t="s">
        <v>30</v>
      </c>
      <c r="C8" s="55">
        <v>2.5</v>
      </c>
      <c r="D8" s="55">
        <v>1.75</v>
      </c>
      <c r="E8" s="55">
        <v>1.5</v>
      </c>
      <c r="F8" s="55">
        <v>1.4</v>
      </c>
      <c r="G8" s="54">
        <v>1.2</v>
      </c>
      <c r="H8" s="54">
        <v>1.1000000000000001</v>
      </c>
      <c r="M8" s="52">
        <v>5</v>
      </c>
      <c r="N8" s="53" t="s">
        <v>30</v>
      </c>
      <c r="O8" s="53"/>
      <c r="P8" s="55">
        <v>2.5</v>
      </c>
      <c r="Q8" s="55">
        <v>1.7</v>
      </c>
      <c r="R8" s="55">
        <v>1.4</v>
      </c>
      <c r="S8" s="55">
        <v>1.25</v>
      </c>
      <c r="T8" s="54">
        <v>1.1000000000000001</v>
      </c>
      <c r="U8" s="54">
        <v>1</v>
      </c>
    </row>
    <row r="9" spans="1:21">
      <c r="A9" s="52">
        <v>6</v>
      </c>
      <c r="B9" s="53" t="s">
        <v>36</v>
      </c>
      <c r="C9" s="55">
        <v>2.2000000000000002</v>
      </c>
      <c r="D9" s="55">
        <v>1.5</v>
      </c>
      <c r="E9" s="55">
        <v>1.3</v>
      </c>
      <c r="F9" s="55">
        <v>1.2</v>
      </c>
      <c r="G9" s="55">
        <v>1.1000000000000001</v>
      </c>
      <c r="H9" s="54">
        <v>1</v>
      </c>
      <c r="M9" s="52">
        <v>6</v>
      </c>
      <c r="N9" s="53" t="s">
        <v>36</v>
      </c>
      <c r="O9" s="53"/>
      <c r="P9" s="55">
        <v>2</v>
      </c>
      <c r="Q9" s="55">
        <v>1.5</v>
      </c>
      <c r="R9" s="55">
        <v>1.25</v>
      </c>
      <c r="S9" s="55">
        <v>1.1000000000000001</v>
      </c>
      <c r="T9" s="55">
        <v>1</v>
      </c>
      <c r="U9" s="54">
        <v>0.9</v>
      </c>
    </row>
    <row r="10" spans="1:21">
      <c r="A10" s="56"/>
      <c r="B10" s="56"/>
      <c r="C10" s="56"/>
      <c r="D10" s="56"/>
      <c r="E10" s="56"/>
      <c r="F10" s="56"/>
      <c r="G10" s="56"/>
      <c r="H10" s="56"/>
      <c r="M10" s="56"/>
      <c r="N10" s="56"/>
      <c r="O10" s="56"/>
      <c r="P10" s="56"/>
      <c r="Q10" s="56"/>
      <c r="R10" s="56"/>
      <c r="S10" s="56"/>
      <c r="T10" s="56"/>
      <c r="U10" s="56"/>
    </row>
    <row r="11" spans="1:21">
      <c r="A11" s="52" t="s">
        <v>40</v>
      </c>
      <c r="B11" s="52" t="s">
        <v>41</v>
      </c>
      <c r="C11" s="52">
        <v>25</v>
      </c>
      <c r="D11" s="52">
        <v>18</v>
      </c>
      <c r="E11" s="52">
        <v>15</v>
      </c>
      <c r="F11" s="52">
        <v>13</v>
      </c>
      <c r="G11" s="52">
        <v>11</v>
      </c>
      <c r="H11" s="52">
        <v>10</v>
      </c>
      <c r="M11" s="52" t="s">
        <v>40</v>
      </c>
      <c r="N11" s="52" t="s">
        <v>41</v>
      </c>
      <c r="O11" s="52">
        <v>40</v>
      </c>
      <c r="P11" s="52">
        <v>25</v>
      </c>
      <c r="Q11" s="52">
        <v>18</v>
      </c>
      <c r="R11" s="52">
        <v>15</v>
      </c>
      <c r="S11" s="52">
        <v>12.5</v>
      </c>
      <c r="T11" s="52">
        <v>10</v>
      </c>
      <c r="U11" s="52">
        <v>8</v>
      </c>
    </row>
    <row r="13" spans="1:21" ht="30">
      <c r="A13" s="51"/>
      <c r="B13" s="170" t="s">
        <v>5</v>
      </c>
      <c r="C13" s="173" t="s">
        <v>281</v>
      </c>
      <c r="D13" s="175" t="s">
        <v>6</v>
      </c>
      <c r="E13" s="176" t="s">
        <v>7</v>
      </c>
      <c r="F13" s="176" t="s">
        <v>8</v>
      </c>
      <c r="G13" s="177" t="s">
        <v>77</v>
      </c>
      <c r="H13" s="176" t="s">
        <v>9</v>
      </c>
      <c r="I13" s="176" t="s">
        <v>10</v>
      </c>
    </row>
    <row r="14" spans="1:21">
      <c r="A14" s="52" t="s">
        <v>44</v>
      </c>
      <c r="B14" s="171" t="s">
        <v>278</v>
      </c>
      <c r="C14" s="178">
        <v>500</v>
      </c>
      <c r="D14" s="179">
        <v>350</v>
      </c>
      <c r="E14" s="180">
        <v>300</v>
      </c>
      <c r="F14" s="180">
        <v>250</v>
      </c>
      <c r="G14" s="180">
        <v>220</v>
      </c>
      <c r="H14" s="180">
        <v>200</v>
      </c>
      <c r="I14" s="180">
        <v>190</v>
      </c>
    </row>
    <row r="15" spans="1:21">
      <c r="A15" s="167" t="s">
        <v>44</v>
      </c>
      <c r="B15" s="172" t="s">
        <v>279</v>
      </c>
      <c r="C15" s="178">
        <v>550</v>
      </c>
      <c r="D15" s="181">
        <v>400</v>
      </c>
      <c r="E15" s="182">
        <v>350</v>
      </c>
      <c r="F15" s="182">
        <v>290</v>
      </c>
      <c r="G15" s="182">
        <v>270</v>
      </c>
      <c r="H15" s="182">
        <v>240</v>
      </c>
      <c r="I15" s="182">
        <v>220</v>
      </c>
    </row>
    <row r="16" spans="1:21">
      <c r="A16" s="169" t="s">
        <v>44</v>
      </c>
      <c r="B16" s="174" t="s">
        <v>280</v>
      </c>
      <c r="C16" s="178">
        <v>650</v>
      </c>
      <c r="D16" s="183">
        <v>500</v>
      </c>
      <c r="E16" s="184">
        <v>450</v>
      </c>
      <c r="F16" s="184">
        <v>390</v>
      </c>
      <c r="G16" s="184">
        <v>370</v>
      </c>
      <c r="H16" s="184">
        <v>330</v>
      </c>
      <c r="I16" s="184">
        <v>300</v>
      </c>
    </row>
    <row r="17" spans="1:9">
      <c r="B17" s="84"/>
      <c r="C17" s="84">
        <v>3</v>
      </c>
      <c r="D17" s="168">
        <v>7</v>
      </c>
      <c r="E17" s="168">
        <v>14</v>
      </c>
      <c r="F17" s="168">
        <v>30</v>
      </c>
      <c r="G17" s="168">
        <v>45</v>
      </c>
      <c r="H17" s="168">
        <v>60</v>
      </c>
      <c r="I17" s="168">
        <v>60</v>
      </c>
    </row>
    <row r="19" spans="1:9">
      <c r="A19" s="84" t="s">
        <v>290</v>
      </c>
      <c r="B19" s="84" t="s">
        <v>291</v>
      </c>
    </row>
  </sheetData>
  <mergeCells count="1">
    <mergeCell ref="M2:U2"/>
  </mergeCells>
  <pageMargins left="0.7" right="0.7" top="0.75" bottom="0.75" header="0.3" footer="0.3"/>
  <pageSetup paperSize="9" scale="88" orientation="portrait" r:id="rId1"/>
</worksheet>
</file>

<file path=xl/worksheets/sheet16.xml><?xml version="1.0" encoding="utf-8"?>
<worksheet xmlns="http://schemas.openxmlformats.org/spreadsheetml/2006/main" xmlns:r="http://schemas.openxmlformats.org/officeDocument/2006/relationships">
  <dimension ref="A2:G16"/>
  <sheetViews>
    <sheetView workbookViewId="0">
      <selection activeCell="E13" sqref="E13"/>
    </sheetView>
  </sheetViews>
  <sheetFormatPr defaultRowHeight="15"/>
  <cols>
    <col min="1" max="1" width="23.7109375" bestFit="1" customWidth="1"/>
    <col min="5" max="5" width="13.7109375" bestFit="1" customWidth="1"/>
    <col min="6" max="6" width="3.42578125" customWidth="1"/>
    <col min="7" max="7" width="13" customWidth="1"/>
  </cols>
  <sheetData>
    <row r="2" spans="1:7">
      <c r="B2" s="201" t="s">
        <v>181</v>
      </c>
      <c r="E2" s="798" t="s">
        <v>328</v>
      </c>
      <c r="F2" s="798"/>
      <c r="G2" s="798"/>
    </row>
    <row r="3" spans="1:7">
      <c r="A3" s="3" t="s">
        <v>324</v>
      </c>
      <c r="B3" s="203">
        <v>0</v>
      </c>
      <c r="E3" t="s">
        <v>329</v>
      </c>
      <c r="G3" s="204">
        <f>B3*C11</f>
        <v>0</v>
      </c>
    </row>
    <row r="4" spans="1:7">
      <c r="A4" s="3" t="s">
        <v>325</v>
      </c>
      <c r="B4" s="203">
        <v>200</v>
      </c>
      <c r="E4" t="s">
        <v>330</v>
      </c>
      <c r="G4" s="204">
        <f>B4*C12</f>
        <v>9000</v>
      </c>
    </row>
    <row r="5" spans="1:7">
      <c r="A5" s="3" t="s">
        <v>331</v>
      </c>
      <c r="B5" s="203">
        <v>0</v>
      </c>
      <c r="E5" t="s">
        <v>331</v>
      </c>
      <c r="G5" s="204">
        <f>B5*C13</f>
        <v>0</v>
      </c>
    </row>
    <row r="6" spans="1:7">
      <c r="A6" t="s">
        <v>326</v>
      </c>
      <c r="B6">
        <v>1500</v>
      </c>
      <c r="C6">
        <f>B6*1.42</f>
        <v>2130</v>
      </c>
      <c r="E6" t="s">
        <v>184</v>
      </c>
      <c r="G6" s="205">
        <f>SUM(G3:G5)</f>
        <v>9000</v>
      </c>
    </row>
    <row r="7" spans="1:7">
      <c r="A7" t="s">
        <v>327</v>
      </c>
      <c r="B7">
        <v>7.15</v>
      </c>
    </row>
    <row r="10" spans="1:7">
      <c r="A10" s="1" t="s">
        <v>332</v>
      </c>
      <c r="B10" s="202"/>
    </row>
    <row r="11" spans="1:7">
      <c r="A11" t="s">
        <v>231</v>
      </c>
      <c r="B11">
        <f>C6/B15</f>
        <v>85.2</v>
      </c>
      <c r="C11">
        <v>90</v>
      </c>
      <c r="E11">
        <v>30</v>
      </c>
    </row>
    <row r="12" spans="1:7">
      <c r="A12" t="s">
        <v>333</v>
      </c>
      <c r="B12">
        <f>C6/B16</f>
        <v>42.6</v>
      </c>
      <c r="C12">
        <v>45</v>
      </c>
      <c r="E12">
        <v>10</v>
      </c>
    </row>
    <row r="13" spans="1:7">
      <c r="A13" t="s">
        <v>331</v>
      </c>
      <c r="B13">
        <v>0</v>
      </c>
      <c r="C13">
        <v>0</v>
      </c>
    </row>
    <row r="14" spans="1:7">
      <c r="A14" s="1" t="s">
        <v>334</v>
      </c>
      <c r="B14" s="202" t="s">
        <v>187</v>
      </c>
    </row>
    <row r="15" spans="1:7">
      <c r="A15" t="s">
        <v>231</v>
      </c>
      <c r="B15">
        <v>25</v>
      </c>
    </row>
    <row r="16" spans="1:7">
      <c r="A16" t="s">
        <v>333</v>
      </c>
      <c r="B16">
        <v>50</v>
      </c>
    </row>
  </sheetData>
  <mergeCells count="1">
    <mergeCell ref="E2:G2"/>
  </mergeCells>
  <pageMargins left="0.7" right="0.7" top="0.75" bottom="0.75" header="0.3" footer="0.3"/>
  <pageSetup paperSize="9" orientation="portrait" horizontalDpi="180" verticalDpi="180" r:id="rId1"/>
  <legacyDrawing r:id="rId2"/>
</worksheet>
</file>

<file path=xl/worksheets/sheet17.xml><?xml version="1.0" encoding="utf-8"?>
<worksheet xmlns="http://schemas.openxmlformats.org/spreadsheetml/2006/main" xmlns:r="http://schemas.openxmlformats.org/officeDocument/2006/relationships">
  <dimension ref="A1:Q23"/>
  <sheetViews>
    <sheetView workbookViewId="0">
      <selection activeCell="E23" sqref="E23"/>
    </sheetView>
  </sheetViews>
  <sheetFormatPr defaultRowHeight="15"/>
  <cols>
    <col min="2" max="2" width="13.5703125" customWidth="1"/>
    <col min="3" max="3" width="1.7109375" customWidth="1"/>
    <col min="4" max="4" width="1.28515625" style="285" customWidth="1"/>
    <col min="5" max="5" width="11.7109375" customWidth="1"/>
    <col min="6" max="6" width="11.28515625" bestFit="1" customWidth="1"/>
    <col min="7" max="7" width="10.7109375" bestFit="1" customWidth="1"/>
    <col min="8" max="8" width="9" bestFit="1" customWidth="1"/>
    <col min="13" max="13" width="14.28515625" customWidth="1"/>
    <col min="14" max="14" width="14.7109375" bestFit="1" customWidth="1"/>
    <col min="15" max="15" width="15.28515625" customWidth="1"/>
    <col min="16" max="16" width="8.7109375" customWidth="1"/>
    <col min="17" max="17" width="11" bestFit="1" customWidth="1"/>
  </cols>
  <sheetData>
    <row r="1" spans="1:17" s="201" customFormat="1">
      <c r="A1" s="201" t="s">
        <v>494</v>
      </c>
      <c r="B1" s="297">
        <f ca="1">TODAY()</f>
        <v>45015</v>
      </c>
      <c r="N1" s="201" t="s">
        <v>493</v>
      </c>
      <c r="O1" s="201">
        <f>6900+5600</f>
        <v>12500</v>
      </c>
    </row>
    <row r="2" spans="1:17" s="201" customFormat="1">
      <c r="F2" s="201" t="s">
        <v>479</v>
      </c>
      <c r="G2" s="201" t="s">
        <v>480</v>
      </c>
      <c r="H2" s="201" t="s">
        <v>324</v>
      </c>
      <c r="I2" s="201" t="s">
        <v>481</v>
      </c>
      <c r="J2" s="201" t="s">
        <v>482</v>
      </c>
      <c r="K2" s="201" t="s">
        <v>483</v>
      </c>
    </row>
    <row r="3" spans="1:17">
      <c r="B3" s="285" t="s">
        <v>478</v>
      </c>
      <c r="E3" s="251" t="s">
        <v>484</v>
      </c>
      <c r="F3" s="288">
        <f>'Договор аренды лесов Юр'!AU141</f>
        <v>9.6999999999999993</v>
      </c>
      <c r="G3" s="288">
        <f>'Договор аренды лесов Юр'!AU142</f>
        <v>11.5</v>
      </c>
      <c r="H3" s="288">
        <f>'Договор аренды лесов Юр'!AU143</f>
        <v>4.3</v>
      </c>
      <c r="I3" s="288">
        <f>'Договор аренды лесов Юр'!AU144</f>
        <v>2.2000000000000002</v>
      </c>
      <c r="J3" s="288">
        <f>'Договор аренды лесов Юр'!AU145</f>
        <v>3.1</v>
      </c>
      <c r="K3" s="288">
        <f>'Договор аренды лесов Юр'!AU146</f>
        <v>7.7</v>
      </c>
      <c r="M3" s="201" t="s">
        <v>485</v>
      </c>
    </row>
    <row r="4" spans="1:17">
      <c r="B4" s="287">
        <v>43062</v>
      </c>
      <c r="E4" s="251" t="s">
        <v>181</v>
      </c>
      <c r="F4" s="285">
        <f>'Расчет лесов'!B8</f>
        <v>4</v>
      </c>
      <c r="G4" s="285">
        <f>'Расчет лесов'!B9</f>
        <v>4</v>
      </c>
      <c r="H4" s="285">
        <f>'Расчет лесов'!B10</f>
        <v>4</v>
      </c>
      <c r="I4" s="285">
        <f>'Расчет лесов'!B11</f>
        <v>4</v>
      </c>
      <c r="J4" s="285">
        <f>'Расчет лесов'!B12</f>
        <v>12</v>
      </c>
      <c r="K4" s="285">
        <f>'Расчет лесов'!B13</f>
        <v>8</v>
      </c>
      <c r="M4" s="290">
        <f>F4*$F$3+G4*$G$3+H4*$H$3+I4*$I$3+J4*$J$3+K4*$K$3+$N$4</f>
        <v>209.79999999999998</v>
      </c>
      <c r="N4">
        <v>0.2</v>
      </c>
    </row>
    <row r="5" spans="1:17" ht="3" customHeight="1">
      <c r="E5" s="292"/>
      <c r="F5" s="292"/>
      <c r="G5" s="292"/>
      <c r="H5" s="292"/>
      <c r="I5" s="292"/>
      <c r="J5" s="292"/>
      <c r="K5" s="292"/>
      <c r="M5" s="290"/>
    </row>
    <row r="6" spans="1:17" ht="3" customHeight="1">
      <c r="M6" s="290"/>
    </row>
    <row r="7" spans="1:17">
      <c r="B7" t="s">
        <v>486</v>
      </c>
      <c r="E7" s="294">
        <v>43067</v>
      </c>
      <c r="F7" s="203">
        <v>2</v>
      </c>
      <c r="G7" s="203">
        <v>0</v>
      </c>
      <c r="H7" s="203">
        <v>2</v>
      </c>
      <c r="I7" s="203">
        <v>4</v>
      </c>
      <c r="J7" s="203">
        <v>5</v>
      </c>
      <c r="K7" s="203">
        <v>0</v>
      </c>
      <c r="N7" s="293" t="s">
        <v>490</v>
      </c>
      <c r="O7" s="286">
        <f>E7-B4+1</f>
        <v>6</v>
      </c>
      <c r="P7" s="2" t="s">
        <v>184</v>
      </c>
      <c r="Q7" s="289">
        <f>O7*M4</f>
        <v>1258.8</v>
      </c>
    </row>
    <row r="8" spans="1:17">
      <c r="E8" s="295" t="s">
        <v>487</v>
      </c>
      <c r="F8" s="296">
        <f t="shared" ref="F8:K8" si="0">F4-F7</f>
        <v>2</v>
      </c>
      <c r="G8" s="296">
        <f t="shared" si="0"/>
        <v>4</v>
      </c>
      <c r="H8" s="296">
        <f t="shared" si="0"/>
        <v>2</v>
      </c>
      <c r="I8" s="296">
        <f t="shared" si="0"/>
        <v>0</v>
      </c>
      <c r="J8" s="296">
        <f t="shared" si="0"/>
        <v>7</v>
      </c>
      <c r="K8" s="296">
        <f t="shared" si="0"/>
        <v>8</v>
      </c>
      <c r="M8" s="290">
        <f>F8*$F$3+G8*$G$3+H8*$H$3+I8*$I$3+J8*$J$3+K8*$K$3</f>
        <v>157.30000000000001</v>
      </c>
      <c r="N8" s="293"/>
      <c r="O8" s="286"/>
      <c r="Q8" s="289"/>
    </row>
    <row r="9" spans="1:17" ht="3" customHeight="1">
      <c r="F9" s="285"/>
      <c r="G9" s="285"/>
      <c r="H9" s="285"/>
      <c r="I9" s="285"/>
      <c r="J9" s="285"/>
      <c r="K9" s="285"/>
      <c r="M9" s="290"/>
      <c r="N9" s="293"/>
      <c r="O9" s="286"/>
      <c r="Q9" s="289"/>
    </row>
    <row r="10" spans="1:17">
      <c r="B10" t="s">
        <v>488</v>
      </c>
      <c r="E10" s="294">
        <v>43070</v>
      </c>
      <c r="F10" s="203">
        <v>0</v>
      </c>
      <c r="G10" s="203">
        <v>0</v>
      </c>
      <c r="H10" s="203">
        <v>0</v>
      </c>
      <c r="I10" s="203">
        <v>0</v>
      </c>
      <c r="J10" s="203">
        <v>0</v>
      </c>
      <c r="K10" s="203">
        <v>0</v>
      </c>
      <c r="M10" s="290"/>
      <c r="N10" s="293" t="s">
        <v>490</v>
      </c>
      <c r="O10" s="286">
        <f>E10-E7+1</f>
        <v>4</v>
      </c>
      <c r="P10" t="s">
        <v>184</v>
      </c>
      <c r="Q10" s="289">
        <f>O10*M8</f>
        <v>629.20000000000005</v>
      </c>
    </row>
    <row r="11" spans="1:17">
      <c r="E11" s="295" t="s">
        <v>487</v>
      </c>
      <c r="F11" s="296">
        <f>F8-F10</f>
        <v>2</v>
      </c>
      <c r="G11" s="296">
        <f t="shared" ref="G11:K11" si="1">G8-G10</f>
        <v>4</v>
      </c>
      <c r="H11" s="296">
        <f t="shared" si="1"/>
        <v>2</v>
      </c>
      <c r="I11" s="296">
        <f t="shared" si="1"/>
        <v>0</v>
      </c>
      <c r="J11" s="296">
        <f t="shared" si="1"/>
        <v>7</v>
      </c>
      <c r="K11" s="296">
        <f t="shared" si="1"/>
        <v>8</v>
      </c>
      <c r="M11" s="290">
        <f t="shared" ref="M11:M20" si="2">F11*$F$3+G11*$G$3+H11*$H$3+I11*$I$3+J11*$J$3+K11*$K$3</f>
        <v>157.30000000000001</v>
      </c>
      <c r="N11" s="293"/>
      <c r="O11" s="286"/>
      <c r="Q11" s="289"/>
    </row>
    <row r="12" spans="1:17" ht="3" customHeight="1">
      <c r="F12" s="285"/>
      <c r="G12" s="285"/>
      <c r="H12" s="285"/>
      <c r="I12" s="285"/>
      <c r="J12" s="285"/>
      <c r="K12" s="285"/>
      <c r="M12" s="290"/>
      <c r="N12" s="293"/>
      <c r="O12" s="286"/>
      <c r="Q12" s="289"/>
    </row>
    <row r="13" spans="1:17">
      <c r="B13" t="s">
        <v>489</v>
      </c>
      <c r="E13" s="294">
        <v>43070</v>
      </c>
      <c r="F13" s="203">
        <v>0</v>
      </c>
      <c r="G13" s="203">
        <v>0</v>
      </c>
      <c r="H13" s="203">
        <v>0</v>
      </c>
      <c r="I13" s="203">
        <v>0</v>
      </c>
      <c r="J13" s="203">
        <v>0</v>
      </c>
      <c r="K13" s="203">
        <v>0</v>
      </c>
      <c r="M13" s="290"/>
      <c r="N13" s="293" t="s">
        <v>490</v>
      </c>
      <c r="O13" s="286">
        <f>E13-E10+1</f>
        <v>1</v>
      </c>
      <c r="P13" t="s">
        <v>184</v>
      </c>
      <c r="Q13" s="289">
        <f>O13*M11</f>
        <v>157.30000000000001</v>
      </c>
    </row>
    <row r="14" spans="1:17">
      <c r="E14" s="295" t="s">
        <v>487</v>
      </c>
      <c r="F14" s="296">
        <f>F11-F13</f>
        <v>2</v>
      </c>
      <c r="G14" s="296">
        <f t="shared" ref="G14:K14" si="3">G11-G13</f>
        <v>4</v>
      </c>
      <c r="H14" s="296">
        <f t="shared" si="3"/>
        <v>2</v>
      </c>
      <c r="I14" s="296">
        <f t="shared" si="3"/>
        <v>0</v>
      </c>
      <c r="J14" s="296">
        <f t="shared" si="3"/>
        <v>7</v>
      </c>
      <c r="K14" s="296">
        <f t="shared" si="3"/>
        <v>8</v>
      </c>
      <c r="M14" s="290">
        <f t="shared" si="2"/>
        <v>157.30000000000001</v>
      </c>
      <c r="N14" s="293"/>
      <c r="O14" s="286"/>
      <c r="Q14" s="289"/>
    </row>
    <row r="15" spans="1:17" ht="3" customHeight="1">
      <c r="F15" s="285"/>
      <c r="G15" s="285"/>
      <c r="H15" s="285"/>
      <c r="I15" s="285"/>
      <c r="J15" s="285"/>
      <c r="K15" s="285"/>
      <c r="M15" s="290"/>
      <c r="N15" s="293"/>
      <c r="O15" s="286"/>
      <c r="Q15" s="289"/>
    </row>
    <row r="16" spans="1:17">
      <c r="B16" t="s">
        <v>491</v>
      </c>
      <c r="E16" s="294">
        <v>43070</v>
      </c>
      <c r="F16" s="203">
        <v>0</v>
      </c>
      <c r="G16" s="203">
        <v>0</v>
      </c>
      <c r="H16" s="203">
        <v>0</v>
      </c>
      <c r="I16" s="203">
        <v>0</v>
      </c>
      <c r="J16" s="203">
        <v>0</v>
      </c>
      <c r="K16" s="203">
        <v>0</v>
      </c>
      <c r="M16" s="290"/>
      <c r="N16" s="293" t="s">
        <v>490</v>
      </c>
      <c r="O16" s="286">
        <f t="shared" ref="O16:O19" si="4">E16-E13+1</f>
        <v>1</v>
      </c>
      <c r="P16" t="s">
        <v>184</v>
      </c>
      <c r="Q16" s="289">
        <f>O16*M14</f>
        <v>157.30000000000001</v>
      </c>
    </row>
    <row r="17" spans="2:17">
      <c r="E17" s="295" t="s">
        <v>487</v>
      </c>
      <c r="F17" s="296">
        <f>F14-F16</f>
        <v>2</v>
      </c>
      <c r="G17" s="296">
        <f t="shared" ref="G17" si="5">G14-G16</f>
        <v>4</v>
      </c>
      <c r="H17" s="296">
        <f t="shared" ref="H17" si="6">H14-H16</f>
        <v>2</v>
      </c>
      <c r="I17" s="296">
        <f t="shared" ref="I17" si="7">I14-I16</f>
        <v>0</v>
      </c>
      <c r="J17" s="296">
        <f t="shared" ref="J17" si="8">J14-J16</f>
        <v>7</v>
      </c>
      <c r="K17" s="296">
        <f t="shared" ref="K17" si="9">K14-K16</f>
        <v>8</v>
      </c>
      <c r="M17" s="290">
        <f t="shared" si="2"/>
        <v>157.30000000000001</v>
      </c>
      <c r="N17" s="293"/>
      <c r="O17" s="286"/>
      <c r="Q17" s="289"/>
    </row>
    <row r="18" spans="2:17" ht="3" customHeight="1">
      <c r="F18" s="285"/>
      <c r="G18" s="285"/>
      <c r="H18" s="285"/>
      <c r="I18" s="285"/>
      <c r="J18" s="285"/>
      <c r="K18" s="285"/>
      <c r="M18" s="290"/>
      <c r="N18" s="293"/>
      <c r="O18" s="286"/>
      <c r="Q18" s="289"/>
    </row>
    <row r="19" spans="2:17">
      <c r="B19" t="s">
        <v>492</v>
      </c>
      <c r="E19" s="294">
        <v>43070</v>
      </c>
      <c r="F19" s="203">
        <v>0</v>
      </c>
      <c r="G19" s="203">
        <v>0</v>
      </c>
      <c r="H19" s="203">
        <v>0</v>
      </c>
      <c r="I19" s="203">
        <v>0</v>
      </c>
      <c r="J19" s="203">
        <v>0</v>
      </c>
      <c r="K19" s="203">
        <v>0</v>
      </c>
      <c r="M19" s="290"/>
      <c r="N19" s="293" t="s">
        <v>490</v>
      </c>
      <c r="O19" s="286">
        <f t="shared" si="4"/>
        <v>1</v>
      </c>
      <c r="P19" t="s">
        <v>184</v>
      </c>
      <c r="Q19" s="289">
        <f t="shared" ref="Q19" si="10">O19*M17</f>
        <v>157.30000000000001</v>
      </c>
    </row>
    <row r="20" spans="2:17">
      <c r="E20" s="295" t="s">
        <v>487</v>
      </c>
      <c r="F20" s="296">
        <f>F17-F19</f>
        <v>2</v>
      </c>
      <c r="G20" s="296">
        <f t="shared" ref="G20" si="11">G17-G19</f>
        <v>4</v>
      </c>
      <c r="H20" s="296">
        <f t="shared" ref="H20" si="12">H17-H19</f>
        <v>2</v>
      </c>
      <c r="I20" s="296">
        <f t="shared" ref="I20" si="13">I17-I19</f>
        <v>0</v>
      </c>
      <c r="J20" s="296">
        <f t="shared" ref="J20" si="14">J17-J19</f>
        <v>7</v>
      </c>
      <c r="K20" s="296">
        <f t="shared" ref="K20" si="15">K17-K19</f>
        <v>8</v>
      </c>
      <c r="M20" s="290">
        <f t="shared" si="2"/>
        <v>157.30000000000001</v>
      </c>
      <c r="N20" s="293"/>
    </row>
    <row r="21" spans="2:17">
      <c r="F21" s="291"/>
      <c r="G21" s="291"/>
      <c r="H21" s="291"/>
      <c r="I21" s="291"/>
      <c r="J21" s="291"/>
      <c r="K21" s="291"/>
    </row>
    <row r="22" spans="2:17">
      <c r="F22" s="291"/>
      <c r="G22" s="291"/>
      <c r="H22" s="291"/>
      <c r="I22" s="291"/>
      <c r="J22" s="291"/>
      <c r="K22" s="291"/>
    </row>
    <row r="23" spans="2:17">
      <c r="O23" t="s">
        <v>487</v>
      </c>
      <c r="Q23" s="289">
        <f>O1-Q7-Q10-Q13-Q16-Q19</f>
        <v>10140.100000000002</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B3:G19"/>
  <sheetViews>
    <sheetView workbookViewId="0">
      <selection activeCell="G3" sqref="G3:G19"/>
    </sheetView>
  </sheetViews>
  <sheetFormatPr defaultRowHeight="15"/>
  <sheetData>
    <row r="3" spans="2:7">
      <c r="B3" s="426"/>
      <c r="C3" s="426"/>
      <c r="D3" s="426"/>
      <c r="E3" s="426"/>
      <c r="F3" s="426"/>
      <c r="G3" s="426">
        <v>21400</v>
      </c>
    </row>
    <row r="4" spans="2:7">
      <c r="B4" s="426"/>
      <c r="C4" s="426"/>
      <c r="D4" s="426"/>
      <c r="E4" s="426"/>
      <c r="F4" s="426"/>
      <c r="G4" s="426">
        <v>25140</v>
      </c>
    </row>
    <row r="5" spans="2:7">
      <c r="B5" s="426"/>
      <c r="C5" s="426"/>
      <c r="D5" s="426"/>
      <c r="E5" s="426"/>
      <c r="F5" s="426"/>
      <c r="G5" s="426">
        <v>28900</v>
      </c>
    </row>
    <row r="6" spans="2:7">
      <c r="B6" s="426"/>
      <c r="C6" s="426"/>
      <c r="D6" s="426"/>
      <c r="E6" s="426"/>
      <c r="F6" s="426"/>
      <c r="G6" s="426">
        <v>34900</v>
      </c>
    </row>
    <row r="7" spans="2:7">
      <c r="B7" s="426"/>
      <c r="C7" s="426"/>
      <c r="D7" s="426"/>
      <c r="E7" s="426"/>
      <c r="F7" s="426"/>
      <c r="G7" s="426">
        <v>38500</v>
      </c>
    </row>
    <row r="8" spans="2:7">
      <c r="B8" s="426"/>
      <c r="C8" s="426"/>
      <c r="D8" s="426"/>
      <c r="E8" s="426"/>
      <c r="F8" s="426"/>
      <c r="G8" s="426">
        <v>42500</v>
      </c>
    </row>
    <row r="9" spans="2:7">
      <c r="B9" s="426"/>
      <c r="C9" s="426"/>
      <c r="D9" s="426"/>
      <c r="E9" s="426"/>
      <c r="F9" s="426"/>
      <c r="G9" s="426">
        <v>46300</v>
      </c>
    </row>
    <row r="10" spans="2:7">
      <c r="B10" s="426"/>
      <c r="C10" s="426"/>
      <c r="D10" s="426"/>
      <c r="E10" s="426"/>
      <c r="F10" s="426"/>
      <c r="G10" s="426">
        <v>50000</v>
      </c>
    </row>
    <row r="11" spans="2:7">
      <c r="B11" s="426"/>
      <c r="C11" s="426"/>
      <c r="D11" s="426"/>
      <c r="E11" s="426"/>
      <c r="F11" s="426"/>
      <c r="G11" s="426">
        <v>53700</v>
      </c>
    </row>
    <row r="12" spans="2:7">
      <c r="B12" s="426"/>
      <c r="C12" s="426"/>
      <c r="D12" s="426"/>
      <c r="E12" s="426"/>
      <c r="F12" s="426"/>
      <c r="G12" s="426">
        <v>57700</v>
      </c>
    </row>
    <row r="13" spans="2:7">
      <c r="B13" s="426"/>
      <c r="C13" s="426"/>
      <c r="D13" s="426"/>
      <c r="E13" s="426"/>
      <c r="F13" s="426"/>
      <c r="G13" s="426">
        <v>61000</v>
      </c>
    </row>
    <row r="14" spans="2:7">
      <c r="B14" s="426"/>
      <c r="C14" s="426"/>
      <c r="D14" s="426"/>
      <c r="E14" s="426"/>
      <c r="F14" s="426"/>
      <c r="G14" s="426">
        <v>65100</v>
      </c>
    </row>
    <row r="15" spans="2:7">
      <c r="B15" s="426"/>
      <c r="C15" s="426"/>
      <c r="D15" s="426"/>
      <c r="E15" s="426"/>
      <c r="F15" s="426"/>
      <c r="G15" s="426">
        <v>69200</v>
      </c>
    </row>
    <row r="16" spans="2:7">
      <c r="B16" s="426"/>
      <c r="C16" s="426"/>
      <c r="D16" s="426"/>
      <c r="E16" s="426"/>
      <c r="F16" s="426"/>
      <c r="G16" s="426">
        <v>72800</v>
      </c>
    </row>
    <row r="17" spans="2:7">
      <c r="B17" s="426"/>
      <c r="C17" s="426"/>
      <c r="D17" s="426"/>
      <c r="E17" s="426"/>
      <c r="F17" s="426"/>
      <c r="G17" s="426">
        <v>76500</v>
      </c>
    </row>
    <row r="18" spans="2:7">
      <c r="B18" s="426"/>
      <c r="C18" s="426"/>
      <c r="D18" s="426"/>
      <c r="E18" s="426"/>
      <c r="F18" s="426"/>
      <c r="G18" s="426">
        <v>80600</v>
      </c>
    </row>
    <row r="19" spans="2:7">
      <c r="B19" s="426"/>
      <c r="C19" s="426"/>
      <c r="D19" s="426"/>
      <c r="E19" s="426"/>
      <c r="F19" s="426"/>
      <c r="G19" s="426">
        <v>83900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10</vt:i4>
      </vt:variant>
    </vt:vector>
  </HeadingPairs>
  <TitlesOfParts>
    <vt:vector size="28" baseType="lpstr">
      <vt:lpstr>Расчет лесов</vt:lpstr>
      <vt:lpstr>Вышки туры</vt:lpstr>
      <vt:lpstr>Договор аренды лесов Физ</vt:lpstr>
      <vt:lpstr>Договор аренды тур Физ</vt:lpstr>
      <vt:lpstr>ДляДоговора</vt:lpstr>
      <vt:lpstr>Договор аренды лесов Юр</vt:lpstr>
      <vt:lpstr>Счет Юр леса</vt:lpstr>
      <vt:lpstr>Договор аренды тур Юр</vt:lpstr>
      <vt:lpstr>Счет Юр вышка</vt:lpstr>
      <vt:lpstr>Акт невозврата Леса</vt:lpstr>
      <vt:lpstr>Акт невозврата Вышки</vt:lpstr>
      <vt:lpstr>Перерасчет</vt:lpstr>
      <vt:lpstr>реквизиты</vt:lpstr>
      <vt:lpstr>Доп</vt:lpstr>
      <vt:lpstr>расценки</vt:lpstr>
      <vt:lpstr>ремонт</vt:lpstr>
      <vt:lpstr>Сдача</vt:lpstr>
      <vt:lpstr>Лист1</vt:lpstr>
      <vt:lpstr>'Акт невозврата Вышки'!Область_печати</vt:lpstr>
      <vt:lpstr>'Акт невозврата Леса'!Область_печати</vt:lpstr>
      <vt:lpstr>'Вышки туры'!Область_печати</vt:lpstr>
      <vt:lpstr>'Договор аренды лесов Физ'!Область_печати</vt:lpstr>
      <vt:lpstr>'Договор аренды лесов Юр'!Область_печати</vt:lpstr>
      <vt:lpstr>'Договор аренды тур Физ'!Область_печати</vt:lpstr>
      <vt:lpstr>'Договор аренды тур Юр'!Область_печати</vt:lpstr>
      <vt:lpstr>'Расчет лесов'!Область_печати</vt:lpstr>
      <vt:lpstr>'Счет Юр вышка'!Область_печати</vt:lpstr>
      <vt:lpstr>'Счет Юр леса'!Область_печати</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Bizkvit</dc:creator>
  <cp:lastModifiedBy>Andrew</cp:lastModifiedBy>
  <cp:revision/>
  <cp:lastPrinted>2023-03-30T09:25:53Z</cp:lastPrinted>
  <dcterms:created xsi:type="dcterms:W3CDTF">2006-09-28T05:33:49Z</dcterms:created>
  <dcterms:modified xsi:type="dcterms:W3CDTF">2023-03-30T09:25:58Z</dcterms:modified>
</cp:coreProperties>
</file>